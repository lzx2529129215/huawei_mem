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50" windowHeight="8415"/>
  </bookViews>
  <sheets>
    <sheet name="Sheet1" sheetId="3" r:id="rId1"/>
    <sheet name="原始数据" sheetId="1" r:id="rId2"/>
    <sheet name="验证基线" sheetId="2" r:id="rId3"/>
  </sheets>
  <definedNames>
    <definedName name="_xlnm._FilterDatabase" localSheetId="1" hidden="1">原始数据!$A$1:$N$81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<sst xmlns="http://schemas.openxmlformats.org/spreadsheetml/2006/main" count="1158" uniqueCount="201">
  <si>
    <t>编号</t>
  </si>
  <si>
    <t>分数</t>
  </si>
  <si>
    <t>说明</t>
  </si>
  <si>
    <t>地区</t>
  </si>
  <si>
    <t>数量</t>
  </si>
  <si>
    <t>单价</t>
  </si>
  <si>
    <t>金额</t>
  </si>
  <si>
    <t>日期</t>
  </si>
  <si>
    <t>状态</t>
  </si>
  <si>
    <t>备注</t>
  </si>
  <si>
    <t>两列之和</t>
  </si>
  <si>
    <t>负责人</t>
  </si>
  <si>
    <t>批次</t>
  </si>
  <si>
    <t>常规记录-017</t>
  </si>
  <si>
    <t>华南</t>
  </si>
  <si>
    <t>已完成</t>
  </si>
  <si>
    <t>第17行备注</t>
  </si>
  <si>
    <t>钱二</t>
  </si>
  <si>
    <t>B-02</t>
  </si>
  <si>
    <t>常规记录-034</t>
  </si>
  <si>
    <t>华北</t>
  </si>
  <si>
    <t>进行中</t>
  </si>
  <si>
    <t>第34行备注</t>
  </si>
  <si>
    <t>孙三</t>
  </si>
  <si>
    <t>B-04</t>
  </si>
  <si>
    <t>常规记录-051</t>
  </si>
  <si>
    <t>西南</t>
  </si>
  <si>
    <t>待处理</t>
  </si>
  <si>
    <t>第51行备注</t>
  </si>
  <si>
    <t>李四</t>
  </si>
  <si>
    <t>B-06</t>
  </si>
  <si>
    <t>key-重点记录-068</t>
  </si>
  <si>
    <t>华东</t>
  </si>
  <si>
    <t>第68行备注</t>
  </si>
  <si>
    <t>赵一</t>
  </si>
  <si>
    <t>B-07</t>
  </si>
  <si>
    <t>常规记录-001</t>
  </si>
  <si>
    <t>第1行备注</t>
  </si>
  <si>
    <t>B-01</t>
  </si>
  <si>
    <t>常规记录-018</t>
  </si>
  <si>
    <t>第18行备注</t>
  </si>
  <si>
    <t>常规记录-035</t>
  </si>
  <si>
    <t>第35行备注</t>
  </si>
  <si>
    <t>key-重点记录-052</t>
  </si>
  <si>
    <t>第52行备注</t>
  </si>
  <si>
    <t>常规记录-069</t>
  </si>
  <si>
    <t>第69行备注</t>
  </si>
  <si>
    <t>常规记录-002</t>
  </si>
  <si>
    <t>第2行备注</t>
  </si>
  <si>
    <t>常规记录-019</t>
  </si>
  <si>
    <t>第19行备注</t>
  </si>
  <si>
    <t>key-重点记录-036</t>
  </si>
  <si>
    <t>第36行备注</t>
  </si>
  <si>
    <t>常规记录-053</t>
  </si>
  <si>
    <t>第53行备注</t>
  </si>
  <si>
    <t>常规记录-070</t>
  </si>
  <si>
    <t>第70行备注</t>
  </si>
  <si>
    <t>常规记录-003</t>
  </si>
  <si>
    <t>第3行备注</t>
  </si>
  <si>
    <t>key-重点记录-020</t>
  </si>
  <si>
    <t>第20行备注</t>
  </si>
  <si>
    <t>常规记录-037</t>
  </si>
  <si>
    <t>第37行备注</t>
  </si>
  <si>
    <t>常规记录-054</t>
  </si>
  <si>
    <t>第54行备注</t>
  </si>
  <si>
    <t>常规记录-071</t>
  </si>
  <si>
    <t>第71行备注</t>
  </si>
  <si>
    <t>B-08</t>
  </si>
  <si>
    <t>key-重点记录-004</t>
  </si>
  <si>
    <t>第4行备注</t>
  </si>
  <si>
    <t>常规记录-021</t>
  </si>
  <si>
    <t>第21行备注</t>
  </si>
  <si>
    <t>B-03</t>
  </si>
  <si>
    <t>常规记录-038</t>
  </si>
  <si>
    <t>第38行备注</t>
  </si>
  <si>
    <t>常规记录-055</t>
  </si>
  <si>
    <t>第55行备注</t>
  </si>
  <si>
    <t>key-重点记录-072</t>
  </si>
  <si>
    <t>第72行备注</t>
  </si>
  <si>
    <t>常规记录-005</t>
  </si>
  <si>
    <t>第5行备注</t>
  </si>
  <si>
    <t>常规记录-022</t>
  </si>
  <si>
    <t>第22行备注</t>
  </si>
  <si>
    <t>常规记录-039</t>
  </si>
  <si>
    <t>第39行备注</t>
  </si>
  <si>
    <t>key-重点记录-056</t>
  </si>
  <si>
    <t>第56行备注</t>
  </si>
  <si>
    <t>常规记录-073</t>
  </si>
  <si>
    <t>第73行备注</t>
  </si>
  <si>
    <t>常规记录-006</t>
  </si>
  <si>
    <t>第6行备注</t>
  </si>
  <si>
    <t>常规记录-023</t>
  </si>
  <si>
    <t>第23行备注</t>
  </si>
  <si>
    <t>key-重点记录-040</t>
  </si>
  <si>
    <t>第40行备注</t>
  </si>
  <si>
    <t>常规记录-057</t>
  </si>
  <si>
    <t>第57行备注</t>
  </si>
  <si>
    <t>常规记录-074</t>
  </si>
  <si>
    <t>第74行备注</t>
  </si>
  <si>
    <t>常规记录-007</t>
  </si>
  <si>
    <t>第7行备注</t>
  </si>
  <si>
    <t>key-重点记录-024</t>
  </si>
  <si>
    <t>第24行备注</t>
  </si>
  <si>
    <t>常规记录-041</t>
  </si>
  <si>
    <t>第41行备注</t>
  </si>
  <si>
    <t>B-05</t>
  </si>
  <si>
    <t>常规记录-058</t>
  </si>
  <si>
    <t>第58行备注</t>
  </si>
  <si>
    <t>常规记录-075</t>
  </si>
  <si>
    <t>第75行备注</t>
  </si>
  <si>
    <t>key-重点记录-008</t>
  </si>
  <si>
    <t>第8行备注</t>
  </si>
  <si>
    <t>常规记录-025</t>
  </si>
  <si>
    <t>第25行备注</t>
  </si>
  <si>
    <t>常规记录-042</t>
  </si>
  <si>
    <t>第42行备注</t>
  </si>
  <si>
    <t>常规记录-059</t>
  </si>
  <si>
    <t>第59行备注</t>
  </si>
  <si>
    <t>key-重点记录-076</t>
  </si>
  <si>
    <t>第76行备注</t>
  </si>
  <si>
    <t>常规记录-009</t>
  </si>
  <si>
    <t>第9行备注</t>
  </si>
  <si>
    <t>常规记录-026</t>
  </si>
  <si>
    <t>第26行备注</t>
  </si>
  <si>
    <t>常规记录-043</t>
  </si>
  <si>
    <t>第43行备注</t>
  </si>
  <si>
    <t>key-重点记录-060</t>
  </si>
  <si>
    <t>第60行备注</t>
  </si>
  <si>
    <t>常规记录-077</t>
  </si>
  <si>
    <t>第77行备注</t>
  </si>
  <si>
    <t>常规记录-010</t>
  </si>
  <si>
    <t>第10行备注</t>
  </si>
  <si>
    <t>常规记录-027</t>
  </si>
  <si>
    <t>第27行备注</t>
  </si>
  <si>
    <t>key-重点记录-044</t>
  </si>
  <si>
    <t>第44行备注</t>
  </si>
  <si>
    <t>常规记录-061</t>
  </si>
  <si>
    <t>第61行备注</t>
  </si>
  <si>
    <t>常规记录-078</t>
  </si>
  <si>
    <t>第78行备注</t>
  </si>
  <si>
    <t>常规记录-011</t>
  </si>
  <si>
    <t>第11行备注</t>
  </si>
  <si>
    <t>key-重点记录-028</t>
  </si>
  <si>
    <t>第28行备注</t>
  </si>
  <si>
    <t>常规记录-045</t>
  </si>
  <si>
    <t>第45行备注</t>
  </si>
  <si>
    <t>常规记录-062</t>
  </si>
  <si>
    <t>第62行备注</t>
  </si>
  <si>
    <t>常规记录-079</t>
  </si>
  <si>
    <t>第79行备注</t>
  </si>
  <si>
    <t>key-重点记录-012</t>
  </si>
  <si>
    <t>第12行备注</t>
  </si>
  <si>
    <t>常规记录-029</t>
  </si>
  <si>
    <t>第29行备注</t>
  </si>
  <si>
    <t>常规记录-046</t>
  </si>
  <si>
    <t>第46行备注</t>
  </si>
  <si>
    <t>常规记录-063</t>
  </si>
  <si>
    <t>第63行备注</t>
  </si>
  <si>
    <t>key-重点记录-080</t>
  </si>
  <si>
    <t>第80行备注</t>
  </si>
  <si>
    <t>常规记录-013</t>
  </si>
  <si>
    <t>第13行备注</t>
  </si>
  <si>
    <t>常规记录-030</t>
  </si>
  <si>
    <t>第30行备注</t>
  </si>
  <si>
    <t>常规记录-047</t>
  </si>
  <si>
    <t>第47行备注</t>
  </si>
  <si>
    <t>key-重点记录-064</t>
  </si>
  <si>
    <t>第64行备注</t>
  </si>
  <si>
    <t>常规记录-014</t>
  </si>
  <si>
    <t>第14行备注</t>
  </si>
  <si>
    <t>常规记录-031</t>
  </si>
  <si>
    <t>第31行备注</t>
  </si>
  <si>
    <t>key-重点记录-048</t>
  </si>
  <si>
    <t>第48行备注</t>
  </si>
  <si>
    <t>常规记录-065</t>
  </si>
  <si>
    <t>第65行备注</t>
  </si>
  <si>
    <t>常规记录-015</t>
  </si>
  <si>
    <t>第15行备注</t>
  </si>
  <si>
    <t>key-重点记录-032</t>
  </si>
  <si>
    <t>第32行备注</t>
  </si>
  <si>
    <t>常规记录-049</t>
  </si>
  <si>
    <t>第49行备注</t>
  </si>
  <si>
    <t>常规记录-066</t>
  </si>
  <si>
    <t>第66行备注</t>
  </si>
  <si>
    <t>key-重点记录-016</t>
  </si>
  <si>
    <t>第16行备注</t>
  </si>
  <si>
    <t>常规记录-033</t>
  </si>
  <si>
    <t>第33行备注</t>
  </si>
  <si>
    <t>常规记录-050</t>
  </si>
  <si>
    <t>第50行备注</t>
  </si>
  <si>
    <t>常规记录-067</t>
  </si>
  <si>
    <t>第67行备注</t>
  </si>
  <si>
    <t>检查项</t>
  </si>
  <si>
    <t>期望值</t>
  </si>
  <si>
    <t>原始数据行数</t>
  </si>
  <si>
    <t>分数大于等于0的行数</t>
  </si>
  <si>
    <t>说明包含key的行数</t>
  </si>
  <si>
    <t>第10列标题</t>
  </si>
  <si>
    <t>求和公式首行</t>
  </si>
  <si>
    <t>=A2+B2</t>
  </si>
  <si>
    <t>目标字体大小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</si>
</sst>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274E13"/>
      <name val="Carlito"/>
      <charset val="134"/>
    </font>
    <font>
      <b/>
      <sz val="11"/>
      <color rgb="FFFFFFFF"/>
      <name val="Carlito"/>
      <charset val="134"/>
    </font>
    <font>
      <sz val="10"/>
      <name val="Arial"/>
      <charset val="134"/>
    </font>
    <font>
      <sz val="14"/>
      <name val="Noto Serif CJK SC"/>
      <charset val="134"/>
    </font>
    <font>
      <b/>
      <sz val="14"/>
      <color rgb="FFFFFFFF"/>
      <name val="Noto Serif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 applyAlignment="1">
      <alignment horizontal="center" vertical="center"/>
    </xf>
    <xf numFmtId="1" fontId="3" fillId="0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/>
    </xf>
    <xf numFmtId="2" fontId="3" fillId="0" borderId="2" xfId="49" applyNumberFormat="1" applyFont="1" applyFill="1" applyBorder="1" applyAlignment="1">
      <alignment vertical="center"/>
    </xf>
    <xf numFmtId="176" fontId="3" fillId="0" borderId="2" xfId="49" applyNumberFormat="1" applyFont="1" applyFill="1" applyBorder="1" applyAlignment="1">
      <alignment vertical="center"/>
    </xf>
    <xf numFmtId="1" fontId="3" fillId="0" borderId="3" xfId="49" applyNumberFormat="1" applyFont="1" applyFill="1" applyBorder="1" applyAlignment="1">
      <alignment vertical="center"/>
    </xf>
    <xf numFmtId="0" fontId="3" fillId="0" borderId="3" xfId="49" applyNumberFormat="1" applyFont="1" applyFill="1" applyBorder="1" applyAlignment="1">
      <alignment vertical="center"/>
    </xf>
    <xf numFmtId="2" fontId="3" fillId="0" borderId="3" xfId="49" applyNumberFormat="1" applyFont="1" applyFill="1" applyBorder="1" applyAlignment="1">
      <alignment vertical="center"/>
    </xf>
    <xf numFmtId="176" fontId="3" fillId="0" borderId="3" xfId="49" applyNumberFormat="1" applyFont="1" applyFill="1" applyBorder="1" applyAlignment="1">
      <alignment vertical="center"/>
    </xf>
    <xf numFmtId="0" fontId="4" fillId="0" borderId="0" xfId="49" applyFont="1"/>
    <xf numFmtId="0" fontId="5" fillId="3" borderId="1" xfId="49" applyNumberFormat="1" applyFont="1" applyFill="1" applyBorder="1" applyAlignment="1">
      <alignment horizontal="center" vertical="center"/>
    </xf>
    <xf numFmtId="1" fontId="4" fillId="0" borderId="2" xfId="49" applyNumberFormat="1" applyFont="1" applyFill="1" applyBorder="1" applyAlignment="1">
      <alignment vertical="center"/>
    </xf>
    <xf numFmtId="0" fontId="4" fillId="0" borderId="2" xfId="49" applyNumberFormat="1" applyFont="1" applyFill="1" applyBorder="1" applyAlignment="1">
      <alignment vertical="center"/>
    </xf>
    <xf numFmtId="2" fontId="4" fillId="0" borderId="2" xfId="49" applyNumberFormat="1" applyFont="1" applyFill="1" applyBorder="1" applyAlignment="1">
      <alignment vertical="center"/>
    </xf>
    <xf numFmtId="176" fontId="4" fillId="0" borderId="2" xfId="49" applyNumberFormat="1" applyFont="1" applyFill="1" applyBorder="1" applyAlignment="1">
      <alignment vertical="center"/>
    </xf>
    <xf numFmtId="1" fontId="4" fillId="0" borderId="3" xfId="49" applyNumberFormat="1" applyFont="1" applyFill="1" applyBorder="1" applyAlignment="1">
      <alignment vertical="center"/>
    </xf>
    <xf numFmtId="0" fontId="4" fillId="0" borderId="3" xfId="49" applyNumberFormat="1" applyFont="1" applyFill="1" applyBorder="1" applyAlignment="1">
      <alignment vertical="center"/>
    </xf>
    <xf numFmtId="2" fontId="4" fillId="0" borderId="3" xfId="49" applyNumberFormat="1" applyFont="1" applyFill="1" applyBorder="1" applyAlignment="1">
      <alignment vertical="center"/>
    </xf>
    <xf numFmtId="176" fontId="4" fillId="0" borderId="3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tabSelected="1" workbookViewId="0">
      <selection activeCell="A1" sqref="$A1:$XFD1048576"/>
    </sheetView>
  </sheetViews>
  <sheetFormatPr defaultColWidth="9" defaultRowHeight="23.25"/>
  <cols>
    <col min="1" max="2" width="9" style="11" customWidth="1"/>
    <col min="3" max="3" width="25" style="11" customWidth="1"/>
    <col min="4" max="7" width="11" style="11" customWidth="1"/>
    <col min="8" max="8" width="14" style="11" customWidth="1"/>
    <col min="9" max="9" width="12" style="11" customWidth="1"/>
    <col min="10" max="12" width="18" style="11" customWidth="1"/>
    <col min="13" max="13" width="11" style="11" customWidth="1"/>
    <col min="14" max="14" width="10" style="11" customWidth="1"/>
    <col min="15" max="16384" width="9" style="11"/>
  </cols>
  <sheetData>
    <row r="1" ht="24" customHeight="1" spans="1:1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9</v>
      </c>
      <c r="L1" s="12" t="s">
        <v>10</v>
      </c>
      <c r="M1" s="12" t="s">
        <v>11</v>
      </c>
      <c r="N1" s="12" t="s">
        <v>12</v>
      </c>
    </row>
    <row r="2" spans="1:14">
      <c r="A2" s="13">
        <v>17</v>
      </c>
      <c r="B2" s="13">
        <v>-6</v>
      </c>
      <c r="C2" s="14" t="s">
        <v>13</v>
      </c>
      <c r="D2" s="14" t="s">
        <v>14</v>
      </c>
      <c r="E2" s="13">
        <v>10</v>
      </c>
      <c r="F2" s="15">
        <v>20</v>
      </c>
      <c r="G2" s="15">
        <f t="shared" ref="G2:G65" si="0">E2*F2</f>
        <v>200</v>
      </c>
      <c r="H2" s="16">
        <v>46039</v>
      </c>
      <c r="I2" s="14" t="s">
        <v>15</v>
      </c>
      <c r="J2" s="14" t="s">
        <v>16</v>
      </c>
      <c r="K2" s="14" t="s">
        <v>16</v>
      </c>
      <c r="L2" s="14">
        <f t="shared" ref="L2:L65" si="1">A2+B2</f>
        <v>11</v>
      </c>
      <c r="M2" s="14" t="s">
        <v>17</v>
      </c>
      <c r="N2" s="14" t="s">
        <v>18</v>
      </c>
    </row>
    <row r="3" spans="1:14">
      <c r="A3" s="13">
        <v>34</v>
      </c>
      <c r="B3" s="13">
        <v>-6</v>
      </c>
      <c r="C3" s="14" t="s">
        <v>19</v>
      </c>
      <c r="D3" s="14" t="s">
        <v>20</v>
      </c>
      <c r="E3" s="13">
        <v>9</v>
      </c>
      <c r="F3" s="15">
        <v>30</v>
      </c>
      <c r="G3" s="15">
        <f t="shared" si="0"/>
        <v>270</v>
      </c>
      <c r="H3" s="16">
        <v>46056</v>
      </c>
      <c r="I3" s="14" t="s">
        <v>21</v>
      </c>
      <c r="J3" s="14" t="s">
        <v>22</v>
      </c>
      <c r="K3" s="14" t="s">
        <v>22</v>
      </c>
      <c r="L3" s="14">
        <f t="shared" si="1"/>
        <v>28</v>
      </c>
      <c r="M3" s="14" t="s">
        <v>23</v>
      </c>
      <c r="N3" s="14" t="s">
        <v>24</v>
      </c>
    </row>
    <row r="4" spans="1:14">
      <c r="A4" s="13">
        <v>51</v>
      </c>
      <c r="B4" s="13">
        <v>-6</v>
      </c>
      <c r="C4" s="14" t="s">
        <v>25</v>
      </c>
      <c r="D4" s="14" t="s">
        <v>26</v>
      </c>
      <c r="E4" s="13">
        <v>8</v>
      </c>
      <c r="F4" s="15">
        <v>40</v>
      </c>
      <c r="G4" s="15">
        <f t="shared" si="0"/>
        <v>320</v>
      </c>
      <c r="H4" s="16">
        <v>46073</v>
      </c>
      <c r="I4" s="14" t="s">
        <v>27</v>
      </c>
      <c r="J4" s="14" t="s">
        <v>28</v>
      </c>
      <c r="K4" s="14" t="s">
        <v>28</v>
      </c>
      <c r="L4" s="14">
        <f t="shared" si="1"/>
        <v>45</v>
      </c>
      <c r="M4" s="14" t="s">
        <v>29</v>
      </c>
      <c r="N4" s="14" t="s">
        <v>30</v>
      </c>
    </row>
    <row r="5" spans="1:14">
      <c r="A5" s="13">
        <v>68</v>
      </c>
      <c r="B5" s="13">
        <v>-6</v>
      </c>
      <c r="C5" s="14" t="s">
        <v>31</v>
      </c>
      <c r="D5" s="14" t="s">
        <v>32</v>
      </c>
      <c r="E5" s="13">
        <v>7</v>
      </c>
      <c r="F5" s="15">
        <v>17.5</v>
      </c>
      <c r="G5" s="15">
        <f t="shared" si="0"/>
        <v>122.5</v>
      </c>
      <c r="H5" s="16">
        <v>46090</v>
      </c>
      <c r="I5" s="14" t="s">
        <v>15</v>
      </c>
      <c r="J5" s="14" t="s">
        <v>33</v>
      </c>
      <c r="K5" s="14" t="s">
        <v>33</v>
      </c>
      <c r="L5" s="14">
        <f t="shared" si="1"/>
        <v>62</v>
      </c>
      <c r="M5" s="14" t="s">
        <v>34</v>
      </c>
      <c r="N5" s="14" t="s">
        <v>35</v>
      </c>
    </row>
    <row r="6" spans="1:14">
      <c r="A6" s="13">
        <v>1</v>
      </c>
      <c r="B6" s="13">
        <v>-5</v>
      </c>
      <c r="C6" s="14" t="s">
        <v>36</v>
      </c>
      <c r="D6" s="14" t="s">
        <v>14</v>
      </c>
      <c r="E6" s="13">
        <v>3</v>
      </c>
      <c r="F6" s="15">
        <v>12.5</v>
      </c>
      <c r="G6" s="15">
        <f t="shared" si="0"/>
        <v>37.5</v>
      </c>
      <c r="H6" s="16">
        <v>46023</v>
      </c>
      <c r="I6" s="14" t="s">
        <v>21</v>
      </c>
      <c r="J6" s="14" t="s">
        <v>37</v>
      </c>
      <c r="K6" s="14" t="s">
        <v>37</v>
      </c>
      <c r="L6" s="14">
        <f t="shared" si="1"/>
        <v>-4</v>
      </c>
      <c r="M6" s="14" t="s">
        <v>17</v>
      </c>
      <c r="N6" s="14" t="s">
        <v>38</v>
      </c>
    </row>
    <row r="7" spans="1:14">
      <c r="A7" s="13">
        <v>18</v>
      </c>
      <c r="B7" s="13">
        <v>-5</v>
      </c>
      <c r="C7" s="14" t="s">
        <v>39</v>
      </c>
      <c r="D7" s="14" t="s">
        <v>20</v>
      </c>
      <c r="E7" s="13">
        <v>2</v>
      </c>
      <c r="F7" s="15">
        <v>22.5</v>
      </c>
      <c r="G7" s="15">
        <f t="shared" si="0"/>
        <v>45</v>
      </c>
      <c r="H7" s="16">
        <v>46040</v>
      </c>
      <c r="I7" s="14" t="s">
        <v>27</v>
      </c>
      <c r="J7" s="14" t="s">
        <v>40</v>
      </c>
      <c r="K7" s="14" t="s">
        <v>40</v>
      </c>
      <c r="L7" s="14">
        <f t="shared" si="1"/>
        <v>13</v>
      </c>
      <c r="M7" s="14" t="s">
        <v>23</v>
      </c>
      <c r="N7" s="14" t="s">
        <v>18</v>
      </c>
    </row>
    <row r="8" spans="1:14">
      <c r="A8" s="13">
        <v>35</v>
      </c>
      <c r="B8" s="13">
        <v>-5</v>
      </c>
      <c r="C8" s="14" t="s">
        <v>41</v>
      </c>
      <c r="D8" s="14" t="s">
        <v>26</v>
      </c>
      <c r="E8" s="13">
        <v>10</v>
      </c>
      <c r="F8" s="15">
        <v>32.5</v>
      </c>
      <c r="G8" s="15">
        <f t="shared" si="0"/>
        <v>325</v>
      </c>
      <c r="H8" s="16">
        <v>46057</v>
      </c>
      <c r="I8" s="14" t="s">
        <v>15</v>
      </c>
      <c r="J8" s="14" t="s">
        <v>42</v>
      </c>
      <c r="K8" s="14" t="s">
        <v>42</v>
      </c>
      <c r="L8" s="14">
        <f t="shared" si="1"/>
        <v>30</v>
      </c>
      <c r="M8" s="14" t="s">
        <v>29</v>
      </c>
      <c r="N8" s="14" t="s">
        <v>24</v>
      </c>
    </row>
    <row r="9" spans="1:14">
      <c r="A9" s="13">
        <v>52</v>
      </c>
      <c r="B9" s="13">
        <v>-5</v>
      </c>
      <c r="C9" s="14" t="s">
        <v>43</v>
      </c>
      <c r="D9" s="14" t="s">
        <v>32</v>
      </c>
      <c r="E9" s="13">
        <v>9</v>
      </c>
      <c r="F9" s="15">
        <v>10</v>
      </c>
      <c r="G9" s="15">
        <f t="shared" si="0"/>
        <v>90</v>
      </c>
      <c r="H9" s="16">
        <v>46074</v>
      </c>
      <c r="I9" s="14" t="s">
        <v>21</v>
      </c>
      <c r="J9" s="14" t="s">
        <v>44</v>
      </c>
      <c r="K9" s="14" t="s">
        <v>44</v>
      </c>
      <c r="L9" s="14">
        <f t="shared" si="1"/>
        <v>47</v>
      </c>
      <c r="M9" s="14" t="s">
        <v>34</v>
      </c>
      <c r="N9" s="14" t="s">
        <v>30</v>
      </c>
    </row>
    <row r="10" spans="1:14">
      <c r="A10" s="13">
        <v>69</v>
      </c>
      <c r="B10" s="13">
        <v>-5</v>
      </c>
      <c r="C10" s="14" t="s">
        <v>45</v>
      </c>
      <c r="D10" s="14" t="s">
        <v>14</v>
      </c>
      <c r="E10" s="13">
        <v>8</v>
      </c>
      <c r="F10" s="15">
        <v>20</v>
      </c>
      <c r="G10" s="15">
        <f t="shared" si="0"/>
        <v>160</v>
      </c>
      <c r="H10" s="16">
        <v>46091</v>
      </c>
      <c r="I10" s="14" t="s">
        <v>27</v>
      </c>
      <c r="J10" s="14" t="s">
        <v>46</v>
      </c>
      <c r="K10" s="14" t="s">
        <v>46</v>
      </c>
      <c r="L10" s="14">
        <f t="shared" si="1"/>
        <v>64</v>
      </c>
      <c r="M10" s="14" t="s">
        <v>17</v>
      </c>
      <c r="N10" s="14" t="s">
        <v>35</v>
      </c>
    </row>
    <row r="11" spans="1:14">
      <c r="A11" s="13">
        <v>2</v>
      </c>
      <c r="B11" s="13">
        <v>-4</v>
      </c>
      <c r="C11" s="14" t="s">
        <v>47</v>
      </c>
      <c r="D11" s="14" t="s">
        <v>20</v>
      </c>
      <c r="E11" s="13">
        <v>4</v>
      </c>
      <c r="F11" s="15">
        <v>15</v>
      </c>
      <c r="G11" s="15">
        <f t="shared" si="0"/>
        <v>60</v>
      </c>
      <c r="H11" s="16">
        <v>46024</v>
      </c>
      <c r="I11" s="14" t="s">
        <v>15</v>
      </c>
      <c r="J11" s="14" t="s">
        <v>48</v>
      </c>
      <c r="K11" s="14" t="s">
        <v>48</v>
      </c>
      <c r="L11" s="14">
        <f t="shared" si="1"/>
        <v>-2</v>
      </c>
      <c r="M11" s="14" t="s">
        <v>23</v>
      </c>
      <c r="N11" s="14" t="s">
        <v>38</v>
      </c>
    </row>
    <row r="12" spans="1:14">
      <c r="A12" s="13">
        <v>19</v>
      </c>
      <c r="B12" s="13">
        <v>-4</v>
      </c>
      <c r="C12" s="14" t="s">
        <v>49</v>
      </c>
      <c r="D12" s="14" t="s">
        <v>26</v>
      </c>
      <c r="E12" s="13">
        <v>3</v>
      </c>
      <c r="F12" s="15">
        <v>25</v>
      </c>
      <c r="G12" s="15">
        <f t="shared" si="0"/>
        <v>75</v>
      </c>
      <c r="H12" s="16">
        <v>46041</v>
      </c>
      <c r="I12" s="14" t="s">
        <v>21</v>
      </c>
      <c r="J12" s="14" t="s">
        <v>50</v>
      </c>
      <c r="K12" s="14" t="s">
        <v>50</v>
      </c>
      <c r="L12" s="14">
        <f t="shared" si="1"/>
        <v>15</v>
      </c>
      <c r="M12" s="14" t="s">
        <v>29</v>
      </c>
      <c r="N12" s="14" t="s">
        <v>18</v>
      </c>
    </row>
    <row r="13" spans="1:14">
      <c r="A13" s="13">
        <v>36</v>
      </c>
      <c r="B13" s="13">
        <v>-4</v>
      </c>
      <c r="C13" s="14" t="s">
        <v>51</v>
      </c>
      <c r="D13" s="14" t="s">
        <v>32</v>
      </c>
      <c r="E13" s="13">
        <v>2</v>
      </c>
      <c r="F13" s="15">
        <v>35</v>
      </c>
      <c r="G13" s="15">
        <f t="shared" si="0"/>
        <v>70</v>
      </c>
      <c r="H13" s="16">
        <v>46058</v>
      </c>
      <c r="I13" s="14" t="s">
        <v>27</v>
      </c>
      <c r="J13" s="14" t="s">
        <v>52</v>
      </c>
      <c r="K13" s="14" t="s">
        <v>52</v>
      </c>
      <c r="L13" s="14">
        <f t="shared" si="1"/>
        <v>32</v>
      </c>
      <c r="M13" s="14" t="s">
        <v>34</v>
      </c>
      <c r="N13" s="14" t="s">
        <v>24</v>
      </c>
    </row>
    <row r="14" spans="1:14">
      <c r="A14" s="13">
        <v>53</v>
      </c>
      <c r="B14" s="13">
        <v>-4</v>
      </c>
      <c r="C14" s="14" t="s">
        <v>53</v>
      </c>
      <c r="D14" s="14" t="s">
        <v>14</v>
      </c>
      <c r="E14" s="13">
        <v>10</v>
      </c>
      <c r="F14" s="15">
        <v>12.5</v>
      </c>
      <c r="G14" s="15">
        <f t="shared" si="0"/>
        <v>125</v>
      </c>
      <c r="H14" s="16">
        <v>46075</v>
      </c>
      <c r="I14" s="14" t="s">
        <v>15</v>
      </c>
      <c r="J14" s="14" t="s">
        <v>54</v>
      </c>
      <c r="K14" s="14" t="s">
        <v>54</v>
      </c>
      <c r="L14" s="14">
        <f t="shared" si="1"/>
        <v>49</v>
      </c>
      <c r="M14" s="14" t="s">
        <v>17</v>
      </c>
      <c r="N14" s="14" t="s">
        <v>30</v>
      </c>
    </row>
    <row r="15" spans="1:14">
      <c r="A15" s="13">
        <v>70</v>
      </c>
      <c r="B15" s="13">
        <v>-4</v>
      </c>
      <c r="C15" s="14" t="s">
        <v>55</v>
      </c>
      <c r="D15" s="14" t="s">
        <v>20</v>
      </c>
      <c r="E15" s="13">
        <v>9</v>
      </c>
      <c r="F15" s="15">
        <v>22.5</v>
      </c>
      <c r="G15" s="15">
        <f t="shared" si="0"/>
        <v>202.5</v>
      </c>
      <c r="H15" s="16">
        <v>46092</v>
      </c>
      <c r="I15" s="14" t="s">
        <v>21</v>
      </c>
      <c r="J15" s="14" t="s">
        <v>56</v>
      </c>
      <c r="K15" s="14" t="s">
        <v>56</v>
      </c>
      <c r="L15" s="14">
        <f t="shared" si="1"/>
        <v>66</v>
      </c>
      <c r="M15" s="14" t="s">
        <v>23</v>
      </c>
      <c r="N15" s="14" t="s">
        <v>35</v>
      </c>
    </row>
    <row r="16" spans="1:14">
      <c r="A16" s="13">
        <v>3</v>
      </c>
      <c r="B16" s="13">
        <v>-3</v>
      </c>
      <c r="C16" s="14" t="s">
        <v>57</v>
      </c>
      <c r="D16" s="14" t="s">
        <v>26</v>
      </c>
      <c r="E16" s="13">
        <v>5</v>
      </c>
      <c r="F16" s="15">
        <v>17.5</v>
      </c>
      <c r="G16" s="15">
        <f t="shared" si="0"/>
        <v>87.5</v>
      </c>
      <c r="H16" s="16">
        <v>46025</v>
      </c>
      <c r="I16" s="14" t="s">
        <v>27</v>
      </c>
      <c r="J16" s="14" t="s">
        <v>58</v>
      </c>
      <c r="K16" s="14" t="s">
        <v>58</v>
      </c>
      <c r="L16" s="14">
        <f t="shared" si="1"/>
        <v>0</v>
      </c>
      <c r="M16" s="14" t="s">
        <v>29</v>
      </c>
      <c r="N16" s="14" t="s">
        <v>38</v>
      </c>
    </row>
    <row r="17" spans="1:14">
      <c r="A17" s="13">
        <v>20</v>
      </c>
      <c r="B17" s="13">
        <v>-3</v>
      </c>
      <c r="C17" s="14" t="s">
        <v>59</v>
      </c>
      <c r="D17" s="14" t="s">
        <v>32</v>
      </c>
      <c r="E17" s="13">
        <v>4</v>
      </c>
      <c r="F17" s="15">
        <v>27.5</v>
      </c>
      <c r="G17" s="15">
        <f t="shared" si="0"/>
        <v>110</v>
      </c>
      <c r="H17" s="16">
        <v>46042</v>
      </c>
      <c r="I17" s="14" t="s">
        <v>15</v>
      </c>
      <c r="J17" s="14" t="s">
        <v>60</v>
      </c>
      <c r="K17" s="14" t="s">
        <v>60</v>
      </c>
      <c r="L17" s="14">
        <f t="shared" si="1"/>
        <v>17</v>
      </c>
      <c r="M17" s="14" t="s">
        <v>34</v>
      </c>
      <c r="N17" s="14" t="s">
        <v>18</v>
      </c>
    </row>
    <row r="18" spans="1:14">
      <c r="A18" s="13">
        <v>37</v>
      </c>
      <c r="B18" s="13">
        <v>-3</v>
      </c>
      <c r="C18" s="14" t="s">
        <v>61</v>
      </c>
      <c r="D18" s="14" t="s">
        <v>14</v>
      </c>
      <c r="E18" s="13">
        <v>3</v>
      </c>
      <c r="F18" s="15">
        <v>37.5</v>
      </c>
      <c r="G18" s="15">
        <f t="shared" si="0"/>
        <v>112.5</v>
      </c>
      <c r="H18" s="16">
        <v>46059</v>
      </c>
      <c r="I18" s="14" t="s">
        <v>21</v>
      </c>
      <c r="J18" s="14" t="s">
        <v>62</v>
      </c>
      <c r="K18" s="14" t="s">
        <v>62</v>
      </c>
      <c r="L18" s="14">
        <f t="shared" si="1"/>
        <v>34</v>
      </c>
      <c r="M18" s="14" t="s">
        <v>17</v>
      </c>
      <c r="N18" s="14" t="s">
        <v>24</v>
      </c>
    </row>
    <row r="19" spans="1:14">
      <c r="A19" s="13">
        <v>54</v>
      </c>
      <c r="B19" s="13">
        <v>-3</v>
      </c>
      <c r="C19" s="14" t="s">
        <v>63</v>
      </c>
      <c r="D19" s="14" t="s">
        <v>20</v>
      </c>
      <c r="E19" s="13">
        <v>2</v>
      </c>
      <c r="F19" s="15">
        <v>15</v>
      </c>
      <c r="G19" s="15">
        <f t="shared" si="0"/>
        <v>30</v>
      </c>
      <c r="H19" s="16">
        <v>46076</v>
      </c>
      <c r="I19" s="14" t="s">
        <v>27</v>
      </c>
      <c r="J19" s="14" t="s">
        <v>64</v>
      </c>
      <c r="K19" s="14" t="s">
        <v>64</v>
      </c>
      <c r="L19" s="14">
        <f t="shared" si="1"/>
        <v>51</v>
      </c>
      <c r="M19" s="14" t="s">
        <v>23</v>
      </c>
      <c r="N19" s="14" t="s">
        <v>30</v>
      </c>
    </row>
    <row r="20" spans="1:14">
      <c r="A20" s="13">
        <v>71</v>
      </c>
      <c r="B20" s="13">
        <v>-3</v>
      </c>
      <c r="C20" s="14" t="s">
        <v>65</v>
      </c>
      <c r="D20" s="14" t="s">
        <v>26</v>
      </c>
      <c r="E20" s="13">
        <v>10</v>
      </c>
      <c r="F20" s="15">
        <v>25</v>
      </c>
      <c r="G20" s="15">
        <f t="shared" si="0"/>
        <v>250</v>
      </c>
      <c r="H20" s="16">
        <v>46093</v>
      </c>
      <c r="I20" s="14" t="s">
        <v>15</v>
      </c>
      <c r="J20" s="14" t="s">
        <v>66</v>
      </c>
      <c r="K20" s="14" t="s">
        <v>66</v>
      </c>
      <c r="L20" s="14">
        <f t="shared" si="1"/>
        <v>68</v>
      </c>
      <c r="M20" s="14" t="s">
        <v>29</v>
      </c>
      <c r="N20" s="14" t="s">
        <v>67</v>
      </c>
    </row>
    <row r="21" spans="1:14">
      <c r="A21" s="13">
        <v>4</v>
      </c>
      <c r="B21" s="13">
        <v>-2</v>
      </c>
      <c r="C21" s="14" t="s">
        <v>68</v>
      </c>
      <c r="D21" s="14" t="s">
        <v>32</v>
      </c>
      <c r="E21" s="13">
        <v>6</v>
      </c>
      <c r="F21" s="15">
        <v>20</v>
      </c>
      <c r="G21" s="15">
        <f t="shared" si="0"/>
        <v>120</v>
      </c>
      <c r="H21" s="16">
        <v>46026</v>
      </c>
      <c r="I21" s="14" t="s">
        <v>21</v>
      </c>
      <c r="J21" s="14" t="s">
        <v>69</v>
      </c>
      <c r="K21" s="14" t="s">
        <v>69</v>
      </c>
      <c r="L21" s="14">
        <f t="shared" si="1"/>
        <v>2</v>
      </c>
      <c r="M21" s="14" t="s">
        <v>34</v>
      </c>
      <c r="N21" s="14" t="s">
        <v>38</v>
      </c>
    </row>
    <row r="22" spans="1:14">
      <c r="A22" s="13">
        <v>21</v>
      </c>
      <c r="B22" s="13">
        <v>-2</v>
      </c>
      <c r="C22" s="14" t="s">
        <v>70</v>
      </c>
      <c r="D22" s="14" t="s">
        <v>14</v>
      </c>
      <c r="E22" s="13">
        <v>5</v>
      </c>
      <c r="F22" s="15">
        <v>30</v>
      </c>
      <c r="G22" s="15">
        <f t="shared" si="0"/>
        <v>150</v>
      </c>
      <c r="H22" s="16">
        <v>46043</v>
      </c>
      <c r="I22" s="14" t="s">
        <v>27</v>
      </c>
      <c r="J22" s="14" t="s">
        <v>71</v>
      </c>
      <c r="K22" s="14" t="s">
        <v>71</v>
      </c>
      <c r="L22" s="14">
        <f t="shared" si="1"/>
        <v>19</v>
      </c>
      <c r="M22" s="14" t="s">
        <v>17</v>
      </c>
      <c r="N22" s="14" t="s">
        <v>72</v>
      </c>
    </row>
    <row r="23" spans="1:14">
      <c r="A23" s="13">
        <v>38</v>
      </c>
      <c r="B23" s="13">
        <v>-2</v>
      </c>
      <c r="C23" s="14" t="s">
        <v>73</v>
      </c>
      <c r="D23" s="14" t="s">
        <v>20</v>
      </c>
      <c r="E23" s="13">
        <v>4</v>
      </c>
      <c r="F23" s="15">
        <v>40</v>
      </c>
      <c r="G23" s="15">
        <f t="shared" si="0"/>
        <v>160</v>
      </c>
      <c r="H23" s="16">
        <v>46060</v>
      </c>
      <c r="I23" s="14" t="s">
        <v>15</v>
      </c>
      <c r="J23" s="14" t="s">
        <v>74</v>
      </c>
      <c r="K23" s="14" t="s">
        <v>74</v>
      </c>
      <c r="L23" s="14">
        <f t="shared" si="1"/>
        <v>36</v>
      </c>
      <c r="M23" s="14" t="s">
        <v>23</v>
      </c>
      <c r="N23" s="14" t="s">
        <v>24</v>
      </c>
    </row>
    <row r="24" spans="1:14">
      <c r="A24" s="13">
        <v>55</v>
      </c>
      <c r="B24" s="13">
        <v>-2</v>
      </c>
      <c r="C24" s="14" t="s">
        <v>75</v>
      </c>
      <c r="D24" s="14" t="s">
        <v>26</v>
      </c>
      <c r="E24" s="13">
        <v>3</v>
      </c>
      <c r="F24" s="15">
        <v>17.5</v>
      </c>
      <c r="G24" s="15">
        <f t="shared" si="0"/>
        <v>52.5</v>
      </c>
      <c r="H24" s="16">
        <v>46077</v>
      </c>
      <c r="I24" s="14" t="s">
        <v>21</v>
      </c>
      <c r="J24" s="14" t="s">
        <v>76</v>
      </c>
      <c r="K24" s="14" t="s">
        <v>76</v>
      </c>
      <c r="L24" s="14">
        <f t="shared" si="1"/>
        <v>53</v>
      </c>
      <c r="M24" s="14" t="s">
        <v>29</v>
      </c>
      <c r="N24" s="14" t="s">
        <v>30</v>
      </c>
    </row>
    <row r="25" spans="1:14">
      <c r="A25" s="13">
        <v>72</v>
      </c>
      <c r="B25" s="13">
        <v>-2</v>
      </c>
      <c r="C25" s="14" t="s">
        <v>77</v>
      </c>
      <c r="D25" s="14" t="s">
        <v>32</v>
      </c>
      <c r="E25" s="13">
        <v>2</v>
      </c>
      <c r="F25" s="15">
        <v>27.5</v>
      </c>
      <c r="G25" s="15">
        <f t="shared" si="0"/>
        <v>55</v>
      </c>
      <c r="H25" s="16">
        <v>46094</v>
      </c>
      <c r="I25" s="14" t="s">
        <v>27</v>
      </c>
      <c r="J25" s="14" t="s">
        <v>78</v>
      </c>
      <c r="K25" s="14" t="s">
        <v>78</v>
      </c>
      <c r="L25" s="14">
        <f t="shared" si="1"/>
        <v>70</v>
      </c>
      <c r="M25" s="14" t="s">
        <v>34</v>
      </c>
      <c r="N25" s="14" t="s">
        <v>67</v>
      </c>
    </row>
    <row r="26" spans="1:14">
      <c r="A26" s="13">
        <v>5</v>
      </c>
      <c r="B26" s="13">
        <v>-1</v>
      </c>
      <c r="C26" s="14" t="s">
        <v>79</v>
      </c>
      <c r="D26" s="14" t="s">
        <v>14</v>
      </c>
      <c r="E26" s="13">
        <v>7</v>
      </c>
      <c r="F26" s="15">
        <v>22.5</v>
      </c>
      <c r="G26" s="15">
        <f t="shared" si="0"/>
        <v>157.5</v>
      </c>
      <c r="H26" s="16">
        <v>46027</v>
      </c>
      <c r="I26" s="14" t="s">
        <v>15</v>
      </c>
      <c r="J26" s="14" t="s">
        <v>80</v>
      </c>
      <c r="K26" s="14" t="s">
        <v>80</v>
      </c>
      <c r="L26" s="14">
        <f t="shared" si="1"/>
        <v>4</v>
      </c>
      <c r="M26" s="14" t="s">
        <v>17</v>
      </c>
      <c r="N26" s="14" t="s">
        <v>38</v>
      </c>
    </row>
    <row r="27" spans="1:14">
      <c r="A27" s="13">
        <v>22</v>
      </c>
      <c r="B27" s="13">
        <v>-1</v>
      </c>
      <c r="C27" s="14" t="s">
        <v>81</v>
      </c>
      <c r="D27" s="14" t="s">
        <v>20</v>
      </c>
      <c r="E27" s="13">
        <v>6</v>
      </c>
      <c r="F27" s="15">
        <v>32.5</v>
      </c>
      <c r="G27" s="15">
        <f t="shared" si="0"/>
        <v>195</v>
      </c>
      <c r="H27" s="16">
        <v>46044</v>
      </c>
      <c r="I27" s="14" t="s">
        <v>21</v>
      </c>
      <c r="J27" s="14" t="s">
        <v>82</v>
      </c>
      <c r="K27" s="14" t="s">
        <v>82</v>
      </c>
      <c r="L27" s="14">
        <f t="shared" si="1"/>
        <v>21</v>
      </c>
      <c r="M27" s="14" t="s">
        <v>23</v>
      </c>
      <c r="N27" s="14" t="s">
        <v>72</v>
      </c>
    </row>
    <row r="28" spans="1:14">
      <c r="A28" s="13">
        <v>39</v>
      </c>
      <c r="B28" s="13">
        <v>-1</v>
      </c>
      <c r="C28" s="14" t="s">
        <v>83</v>
      </c>
      <c r="D28" s="14" t="s">
        <v>26</v>
      </c>
      <c r="E28" s="13">
        <v>5</v>
      </c>
      <c r="F28" s="15">
        <v>10</v>
      </c>
      <c r="G28" s="15">
        <f t="shared" si="0"/>
        <v>50</v>
      </c>
      <c r="H28" s="16">
        <v>46061</v>
      </c>
      <c r="I28" s="14" t="s">
        <v>27</v>
      </c>
      <c r="J28" s="14" t="s">
        <v>84</v>
      </c>
      <c r="K28" s="14" t="s">
        <v>84</v>
      </c>
      <c r="L28" s="14">
        <f t="shared" si="1"/>
        <v>38</v>
      </c>
      <c r="M28" s="14" t="s">
        <v>29</v>
      </c>
      <c r="N28" s="14" t="s">
        <v>24</v>
      </c>
    </row>
    <row r="29" spans="1:14">
      <c r="A29" s="13">
        <v>56</v>
      </c>
      <c r="B29" s="13">
        <v>-1</v>
      </c>
      <c r="C29" s="14" t="s">
        <v>85</v>
      </c>
      <c r="D29" s="14" t="s">
        <v>32</v>
      </c>
      <c r="E29" s="13">
        <v>4</v>
      </c>
      <c r="F29" s="15">
        <v>20</v>
      </c>
      <c r="G29" s="15">
        <f t="shared" si="0"/>
        <v>80</v>
      </c>
      <c r="H29" s="16">
        <v>46078</v>
      </c>
      <c r="I29" s="14" t="s">
        <v>15</v>
      </c>
      <c r="J29" s="14" t="s">
        <v>86</v>
      </c>
      <c r="K29" s="14" t="s">
        <v>86</v>
      </c>
      <c r="L29" s="14">
        <f t="shared" si="1"/>
        <v>55</v>
      </c>
      <c r="M29" s="14" t="s">
        <v>34</v>
      </c>
      <c r="N29" s="14" t="s">
        <v>30</v>
      </c>
    </row>
    <row r="30" spans="1:14">
      <c r="A30" s="13">
        <v>73</v>
      </c>
      <c r="B30" s="13">
        <v>-1</v>
      </c>
      <c r="C30" s="14" t="s">
        <v>87</v>
      </c>
      <c r="D30" s="14" t="s">
        <v>14</v>
      </c>
      <c r="E30" s="13">
        <v>3</v>
      </c>
      <c r="F30" s="15">
        <v>30</v>
      </c>
      <c r="G30" s="15">
        <f t="shared" si="0"/>
        <v>90</v>
      </c>
      <c r="H30" s="16">
        <v>46095</v>
      </c>
      <c r="I30" s="14" t="s">
        <v>21</v>
      </c>
      <c r="J30" s="14" t="s">
        <v>88</v>
      </c>
      <c r="K30" s="14" t="s">
        <v>88</v>
      </c>
      <c r="L30" s="14">
        <f t="shared" si="1"/>
        <v>72</v>
      </c>
      <c r="M30" s="14" t="s">
        <v>17</v>
      </c>
      <c r="N30" s="14" t="s">
        <v>67</v>
      </c>
    </row>
    <row r="31" spans="1:14">
      <c r="A31" s="13">
        <v>6</v>
      </c>
      <c r="B31" s="13">
        <v>0</v>
      </c>
      <c r="C31" s="14" t="s">
        <v>89</v>
      </c>
      <c r="D31" s="14" t="s">
        <v>20</v>
      </c>
      <c r="E31" s="13">
        <v>8</v>
      </c>
      <c r="F31" s="15">
        <v>25</v>
      </c>
      <c r="G31" s="15">
        <f t="shared" si="0"/>
        <v>200</v>
      </c>
      <c r="H31" s="16">
        <v>46028</v>
      </c>
      <c r="I31" s="14" t="s">
        <v>27</v>
      </c>
      <c r="J31" s="14" t="s">
        <v>90</v>
      </c>
      <c r="K31" s="14" t="s">
        <v>90</v>
      </c>
      <c r="L31" s="14">
        <f t="shared" si="1"/>
        <v>6</v>
      </c>
      <c r="M31" s="14" t="s">
        <v>23</v>
      </c>
      <c r="N31" s="14" t="s">
        <v>38</v>
      </c>
    </row>
    <row r="32" spans="1:14">
      <c r="A32" s="13">
        <v>23</v>
      </c>
      <c r="B32" s="13">
        <v>0</v>
      </c>
      <c r="C32" s="14" t="s">
        <v>91</v>
      </c>
      <c r="D32" s="14" t="s">
        <v>26</v>
      </c>
      <c r="E32" s="13">
        <v>7</v>
      </c>
      <c r="F32" s="15">
        <v>35</v>
      </c>
      <c r="G32" s="15">
        <f t="shared" si="0"/>
        <v>245</v>
      </c>
      <c r="H32" s="16">
        <v>46045</v>
      </c>
      <c r="I32" s="14" t="s">
        <v>15</v>
      </c>
      <c r="J32" s="14" t="s">
        <v>92</v>
      </c>
      <c r="K32" s="14" t="s">
        <v>92</v>
      </c>
      <c r="L32" s="14">
        <f t="shared" si="1"/>
        <v>23</v>
      </c>
      <c r="M32" s="14" t="s">
        <v>29</v>
      </c>
      <c r="N32" s="14" t="s">
        <v>72</v>
      </c>
    </row>
    <row r="33" spans="1:14">
      <c r="A33" s="13">
        <v>40</v>
      </c>
      <c r="B33" s="13">
        <v>0</v>
      </c>
      <c r="C33" s="14" t="s">
        <v>93</v>
      </c>
      <c r="D33" s="14" t="s">
        <v>32</v>
      </c>
      <c r="E33" s="13">
        <v>6</v>
      </c>
      <c r="F33" s="15">
        <v>12.5</v>
      </c>
      <c r="G33" s="15">
        <f t="shared" si="0"/>
        <v>75</v>
      </c>
      <c r="H33" s="16">
        <v>46062</v>
      </c>
      <c r="I33" s="14" t="s">
        <v>21</v>
      </c>
      <c r="J33" s="14" t="s">
        <v>94</v>
      </c>
      <c r="K33" s="14" t="s">
        <v>94</v>
      </c>
      <c r="L33" s="14">
        <f t="shared" si="1"/>
        <v>40</v>
      </c>
      <c r="M33" s="14" t="s">
        <v>34</v>
      </c>
      <c r="N33" s="14" t="s">
        <v>24</v>
      </c>
    </row>
    <row r="34" spans="1:14">
      <c r="A34" s="13">
        <v>57</v>
      </c>
      <c r="B34" s="13">
        <v>0</v>
      </c>
      <c r="C34" s="14" t="s">
        <v>95</v>
      </c>
      <c r="D34" s="14" t="s">
        <v>14</v>
      </c>
      <c r="E34" s="13">
        <v>5</v>
      </c>
      <c r="F34" s="15">
        <v>22.5</v>
      </c>
      <c r="G34" s="15">
        <f t="shared" si="0"/>
        <v>112.5</v>
      </c>
      <c r="H34" s="16">
        <v>46079</v>
      </c>
      <c r="I34" s="14" t="s">
        <v>27</v>
      </c>
      <c r="J34" s="14" t="s">
        <v>96</v>
      </c>
      <c r="K34" s="14" t="s">
        <v>96</v>
      </c>
      <c r="L34" s="14">
        <f t="shared" si="1"/>
        <v>57</v>
      </c>
      <c r="M34" s="14" t="s">
        <v>17</v>
      </c>
      <c r="N34" s="14" t="s">
        <v>30</v>
      </c>
    </row>
    <row r="35" spans="1:14">
      <c r="A35" s="13">
        <v>74</v>
      </c>
      <c r="B35" s="13">
        <v>0</v>
      </c>
      <c r="C35" s="14" t="s">
        <v>97</v>
      </c>
      <c r="D35" s="14" t="s">
        <v>20</v>
      </c>
      <c r="E35" s="13">
        <v>4</v>
      </c>
      <c r="F35" s="15">
        <v>32.5</v>
      </c>
      <c r="G35" s="15">
        <f t="shared" si="0"/>
        <v>130</v>
      </c>
      <c r="H35" s="16">
        <v>46096</v>
      </c>
      <c r="I35" s="14" t="s">
        <v>15</v>
      </c>
      <c r="J35" s="14" t="s">
        <v>98</v>
      </c>
      <c r="K35" s="14" t="s">
        <v>98</v>
      </c>
      <c r="L35" s="14">
        <f t="shared" si="1"/>
        <v>74</v>
      </c>
      <c r="M35" s="14" t="s">
        <v>23</v>
      </c>
      <c r="N35" s="14" t="s">
        <v>67</v>
      </c>
    </row>
    <row r="36" spans="1:14">
      <c r="A36" s="13">
        <v>7</v>
      </c>
      <c r="B36" s="13">
        <v>1</v>
      </c>
      <c r="C36" s="14" t="s">
        <v>99</v>
      </c>
      <c r="D36" s="14" t="s">
        <v>26</v>
      </c>
      <c r="E36" s="13">
        <v>9</v>
      </c>
      <c r="F36" s="15">
        <v>27.5</v>
      </c>
      <c r="G36" s="15">
        <f t="shared" si="0"/>
        <v>247.5</v>
      </c>
      <c r="H36" s="16">
        <v>46029</v>
      </c>
      <c r="I36" s="14" t="s">
        <v>21</v>
      </c>
      <c r="J36" s="14" t="s">
        <v>100</v>
      </c>
      <c r="K36" s="14" t="s">
        <v>100</v>
      </c>
      <c r="L36" s="14">
        <f t="shared" si="1"/>
        <v>8</v>
      </c>
      <c r="M36" s="14" t="s">
        <v>29</v>
      </c>
      <c r="N36" s="14" t="s">
        <v>38</v>
      </c>
    </row>
    <row r="37" spans="1:14">
      <c r="A37" s="13">
        <v>24</v>
      </c>
      <c r="B37" s="13">
        <v>1</v>
      </c>
      <c r="C37" s="14" t="s">
        <v>101</v>
      </c>
      <c r="D37" s="14" t="s">
        <v>32</v>
      </c>
      <c r="E37" s="13">
        <v>8</v>
      </c>
      <c r="F37" s="15">
        <v>37.5</v>
      </c>
      <c r="G37" s="15">
        <f t="shared" si="0"/>
        <v>300</v>
      </c>
      <c r="H37" s="16">
        <v>46046</v>
      </c>
      <c r="I37" s="14" t="s">
        <v>27</v>
      </c>
      <c r="J37" s="14" t="s">
        <v>102</v>
      </c>
      <c r="K37" s="14" t="s">
        <v>102</v>
      </c>
      <c r="L37" s="14">
        <f t="shared" si="1"/>
        <v>25</v>
      </c>
      <c r="M37" s="14" t="s">
        <v>34</v>
      </c>
      <c r="N37" s="14" t="s">
        <v>72</v>
      </c>
    </row>
    <row r="38" spans="1:14">
      <c r="A38" s="13">
        <v>41</v>
      </c>
      <c r="B38" s="13">
        <v>1</v>
      </c>
      <c r="C38" s="14" t="s">
        <v>103</v>
      </c>
      <c r="D38" s="14" t="s">
        <v>14</v>
      </c>
      <c r="E38" s="13">
        <v>7</v>
      </c>
      <c r="F38" s="15">
        <v>15</v>
      </c>
      <c r="G38" s="15">
        <f t="shared" si="0"/>
        <v>105</v>
      </c>
      <c r="H38" s="16">
        <v>46063</v>
      </c>
      <c r="I38" s="14" t="s">
        <v>15</v>
      </c>
      <c r="J38" s="14" t="s">
        <v>104</v>
      </c>
      <c r="K38" s="14" t="s">
        <v>104</v>
      </c>
      <c r="L38" s="14">
        <f t="shared" si="1"/>
        <v>42</v>
      </c>
      <c r="M38" s="14" t="s">
        <v>17</v>
      </c>
      <c r="N38" s="14" t="s">
        <v>105</v>
      </c>
    </row>
    <row r="39" spans="1:14">
      <c r="A39" s="13">
        <v>58</v>
      </c>
      <c r="B39" s="13">
        <v>1</v>
      </c>
      <c r="C39" s="14" t="s">
        <v>106</v>
      </c>
      <c r="D39" s="14" t="s">
        <v>20</v>
      </c>
      <c r="E39" s="13">
        <v>6</v>
      </c>
      <c r="F39" s="15">
        <v>25</v>
      </c>
      <c r="G39" s="15">
        <f t="shared" si="0"/>
        <v>150</v>
      </c>
      <c r="H39" s="16">
        <v>46080</v>
      </c>
      <c r="I39" s="14" t="s">
        <v>21</v>
      </c>
      <c r="J39" s="14" t="s">
        <v>107</v>
      </c>
      <c r="K39" s="14" t="s">
        <v>107</v>
      </c>
      <c r="L39" s="14">
        <f t="shared" si="1"/>
        <v>59</v>
      </c>
      <c r="M39" s="14" t="s">
        <v>23</v>
      </c>
      <c r="N39" s="14" t="s">
        <v>30</v>
      </c>
    </row>
    <row r="40" spans="1:14">
      <c r="A40" s="13">
        <v>75</v>
      </c>
      <c r="B40" s="13">
        <v>1</v>
      </c>
      <c r="C40" s="14" t="s">
        <v>108</v>
      </c>
      <c r="D40" s="14" t="s">
        <v>26</v>
      </c>
      <c r="E40" s="13">
        <v>5</v>
      </c>
      <c r="F40" s="15">
        <v>35</v>
      </c>
      <c r="G40" s="15">
        <f t="shared" si="0"/>
        <v>175</v>
      </c>
      <c r="H40" s="16">
        <v>46097</v>
      </c>
      <c r="I40" s="14" t="s">
        <v>27</v>
      </c>
      <c r="J40" s="14" t="s">
        <v>109</v>
      </c>
      <c r="K40" s="14" t="s">
        <v>109</v>
      </c>
      <c r="L40" s="14">
        <f t="shared" si="1"/>
        <v>76</v>
      </c>
      <c r="M40" s="14" t="s">
        <v>29</v>
      </c>
      <c r="N40" s="14" t="s">
        <v>67</v>
      </c>
    </row>
    <row r="41" spans="1:14">
      <c r="A41" s="13">
        <v>8</v>
      </c>
      <c r="B41" s="13">
        <v>2</v>
      </c>
      <c r="C41" s="14" t="s">
        <v>110</v>
      </c>
      <c r="D41" s="14" t="s">
        <v>32</v>
      </c>
      <c r="E41" s="13">
        <v>10</v>
      </c>
      <c r="F41" s="15">
        <v>30</v>
      </c>
      <c r="G41" s="15">
        <f t="shared" si="0"/>
        <v>300</v>
      </c>
      <c r="H41" s="16">
        <v>46030</v>
      </c>
      <c r="I41" s="14" t="s">
        <v>15</v>
      </c>
      <c r="J41" s="14" t="s">
        <v>111</v>
      </c>
      <c r="K41" s="14" t="s">
        <v>111</v>
      </c>
      <c r="L41" s="14">
        <f t="shared" si="1"/>
        <v>10</v>
      </c>
      <c r="M41" s="14" t="s">
        <v>34</v>
      </c>
      <c r="N41" s="14" t="s">
        <v>38</v>
      </c>
    </row>
    <row r="42" spans="1:14">
      <c r="A42" s="13">
        <v>25</v>
      </c>
      <c r="B42" s="13">
        <v>2</v>
      </c>
      <c r="C42" s="14" t="s">
        <v>112</v>
      </c>
      <c r="D42" s="14" t="s">
        <v>14</v>
      </c>
      <c r="E42" s="13">
        <v>9</v>
      </c>
      <c r="F42" s="15">
        <v>40</v>
      </c>
      <c r="G42" s="15">
        <f t="shared" si="0"/>
        <v>360</v>
      </c>
      <c r="H42" s="16">
        <v>46047</v>
      </c>
      <c r="I42" s="14" t="s">
        <v>21</v>
      </c>
      <c r="J42" s="14" t="s">
        <v>113</v>
      </c>
      <c r="K42" s="14" t="s">
        <v>113</v>
      </c>
      <c r="L42" s="14">
        <f t="shared" si="1"/>
        <v>27</v>
      </c>
      <c r="M42" s="14" t="s">
        <v>17</v>
      </c>
      <c r="N42" s="14" t="s">
        <v>72</v>
      </c>
    </row>
    <row r="43" spans="1:14">
      <c r="A43" s="13">
        <v>42</v>
      </c>
      <c r="B43" s="13">
        <v>2</v>
      </c>
      <c r="C43" s="14" t="s">
        <v>114</v>
      </c>
      <c r="D43" s="14" t="s">
        <v>20</v>
      </c>
      <c r="E43" s="13">
        <v>8</v>
      </c>
      <c r="F43" s="15">
        <v>17.5</v>
      </c>
      <c r="G43" s="15">
        <f t="shared" si="0"/>
        <v>140</v>
      </c>
      <c r="H43" s="16">
        <v>46064</v>
      </c>
      <c r="I43" s="14" t="s">
        <v>27</v>
      </c>
      <c r="J43" s="14" t="s">
        <v>115</v>
      </c>
      <c r="K43" s="14" t="s">
        <v>115</v>
      </c>
      <c r="L43" s="14">
        <f t="shared" si="1"/>
        <v>44</v>
      </c>
      <c r="M43" s="14" t="s">
        <v>23</v>
      </c>
      <c r="N43" s="14" t="s">
        <v>105</v>
      </c>
    </row>
    <row r="44" spans="1:14">
      <c r="A44" s="13">
        <v>59</v>
      </c>
      <c r="B44" s="13">
        <v>2</v>
      </c>
      <c r="C44" s="14" t="s">
        <v>116</v>
      </c>
      <c r="D44" s="14" t="s">
        <v>26</v>
      </c>
      <c r="E44" s="13">
        <v>7</v>
      </c>
      <c r="F44" s="15">
        <v>27.5</v>
      </c>
      <c r="G44" s="15">
        <f t="shared" si="0"/>
        <v>192.5</v>
      </c>
      <c r="H44" s="16">
        <v>46081</v>
      </c>
      <c r="I44" s="14" t="s">
        <v>15</v>
      </c>
      <c r="J44" s="14" t="s">
        <v>117</v>
      </c>
      <c r="K44" s="14" t="s">
        <v>117</v>
      </c>
      <c r="L44" s="14">
        <f t="shared" si="1"/>
        <v>61</v>
      </c>
      <c r="M44" s="14" t="s">
        <v>29</v>
      </c>
      <c r="N44" s="14" t="s">
        <v>30</v>
      </c>
    </row>
    <row r="45" spans="1:14">
      <c r="A45" s="13">
        <v>76</v>
      </c>
      <c r="B45" s="13">
        <v>2</v>
      </c>
      <c r="C45" s="14" t="s">
        <v>118</v>
      </c>
      <c r="D45" s="14" t="s">
        <v>32</v>
      </c>
      <c r="E45" s="13">
        <v>6</v>
      </c>
      <c r="F45" s="15">
        <v>37.5</v>
      </c>
      <c r="G45" s="15">
        <f t="shared" si="0"/>
        <v>225</v>
      </c>
      <c r="H45" s="16">
        <v>46098</v>
      </c>
      <c r="I45" s="14" t="s">
        <v>21</v>
      </c>
      <c r="J45" s="14" t="s">
        <v>119</v>
      </c>
      <c r="K45" s="14" t="s">
        <v>119</v>
      </c>
      <c r="L45" s="14">
        <f t="shared" si="1"/>
        <v>78</v>
      </c>
      <c r="M45" s="14" t="s">
        <v>34</v>
      </c>
      <c r="N45" s="14" t="s">
        <v>67</v>
      </c>
    </row>
    <row r="46" spans="1:14">
      <c r="A46" s="13">
        <v>9</v>
      </c>
      <c r="B46" s="13">
        <v>3</v>
      </c>
      <c r="C46" s="14" t="s">
        <v>120</v>
      </c>
      <c r="D46" s="14" t="s">
        <v>14</v>
      </c>
      <c r="E46" s="13">
        <v>2</v>
      </c>
      <c r="F46" s="15">
        <v>32.5</v>
      </c>
      <c r="G46" s="15">
        <f t="shared" si="0"/>
        <v>65</v>
      </c>
      <c r="H46" s="16">
        <v>46031</v>
      </c>
      <c r="I46" s="14" t="s">
        <v>27</v>
      </c>
      <c r="J46" s="14" t="s">
        <v>121</v>
      </c>
      <c r="K46" s="14" t="s">
        <v>121</v>
      </c>
      <c r="L46" s="14">
        <f t="shared" si="1"/>
        <v>12</v>
      </c>
      <c r="M46" s="14" t="s">
        <v>17</v>
      </c>
      <c r="N46" s="14" t="s">
        <v>38</v>
      </c>
    </row>
    <row r="47" spans="1:14">
      <c r="A47" s="13">
        <v>26</v>
      </c>
      <c r="B47" s="13">
        <v>3</v>
      </c>
      <c r="C47" s="14" t="s">
        <v>122</v>
      </c>
      <c r="D47" s="14" t="s">
        <v>20</v>
      </c>
      <c r="E47" s="13">
        <v>10</v>
      </c>
      <c r="F47" s="15">
        <v>10</v>
      </c>
      <c r="G47" s="15">
        <f t="shared" si="0"/>
        <v>100</v>
      </c>
      <c r="H47" s="16">
        <v>46048</v>
      </c>
      <c r="I47" s="14" t="s">
        <v>15</v>
      </c>
      <c r="J47" s="14" t="s">
        <v>123</v>
      </c>
      <c r="K47" s="14" t="s">
        <v>123</v>
      </c>
      <c r="L47" s="14">
        <f t="shared" si="1"/>
        <v>29</v>
      </c>
      <c r="M47" s="14" t="s">
        <v>23</v>
      </c>
      <c r="N47" s="14" t="s">
        <v>72</v>
      </c>
    </row>
    <row r="48" spans="1:14">
      <c r="A48" s="13">
        <v>43</v>
      </c>
      <c r="B48" s="13">
        <v>3</v>
      </c>
      <c r="C48" s="14" t="s">
        <v>124</v>
      </c>
      <c r="D48" s="14" t="s">
        <v>26</v>
      </c>
      <c r="E48" s="13">
        <v>9</v>
      </c>
      <c r="F48" s="15">
        <v>20</v>
      </c>
      <c r="G48" s="15">
        <f t="shared" si="0"/>
        <v>180</v>
      </c>
      <c r="H48" s="16">
        <v>46065</v>
      </c>
      <c r="I48" s="14" t="s">
        <v>21</v>
      </c>
      <c r="J48" s="14" t="s">
        <v>125</v>
      </c>
      <c r="K48" s="14" t="s">
        <v>125</v>
      </c>
      <c r="L48" s="14">
        <f t="shared" si="1"/>
        <v>46</v>
      </c>
      <c r="M48" s="14" t="s">
        <v>29</v>
      </c>
      <c r="N48" s="14" t="s">
        <v>105</v>
      </c>
    </row>
    <row r="49" spans="1:14">
      <c r="A49" s="13">
        <v>60</v>
      </c>
      <c r="B49" s="13">
        <v>3</v>
      </c>
      <c r="C49" s="14" t="s">
        <v>126</v>
      </c>
      <c r="D49" s="14" t="s">
        <v>32</v>
      </c>
      <c r="E49" s="13">
        <v>8</v>
      </c>
      <c r="F49" s="15">
        <v>30</v>
      </c>
      <c r="G49" s="15">
        <f t="shared" si="0"/>
        <v>240</v>
      </c>
      <c r="H49" s="16">
        <v>46082</v>
      </c>
      <c r="I49" s="14" t="s">
        <v>27</v>
      </c>
      <c r="J49" s="14" t="s">
        <v>127</v>
      </c>
      <c r="K49" s="14" t="s">
        <v>127</v>
      </c>
      <c r="L49" s="14">
        <f t="shared" si="1"/>
        <v>63</v>
      </c>
      <c r="M49" s="14" t="s">
        <v>34</v>
      </c>
      <c r="N49" s="14" t="s">
        <v>30</v>
      </c>
    </row>
    <row r="50" spans="1:14">
      <c r="A50" s="13">
        <v>77</v>
      </c>
      <c r="B50" s="13">
        <v>3</v>
      </c>
      <c r="C50" s="14" t="s">
        <v>128</v>
      </c>
      <c r="D50" s="14" t="s">
        <v>14</v>
      </c>
      <c r="E50" s="13">
        <v>7</v>
      </c>
      <c r="F50" s="15">
        <v>40</v>
      </c>
      <c r="G50" s="15">
        <f t="shared" si="0"/>
        <v>280</v>
      </c>
      <c r="H50" s="16">
        <v>46099</v>
      </c>
      <c r="I50" s="14" t="s">
        <v>15</v>
      </c>
      <c r="J50" s="14" t="s">
        <v>129</v>
      </c>
      <c r="K50" s="14" t="s">
        <v>129</v>
      </c>
      <c r="L50" s="14">
        <f t="shared" si="1"/>
        <v>80</v>
      </c>
      <c r="M50" s="14" t="s">
        <v>17</v>
      </c>
      <c r="N50" s="14" t="s">
        <v>67</v>
      </c>
    </row>
    <row r="51" spans="1:14">
      <c r="A51" s="13">
        <v>10</v>
      </c>
      <c r="B51" s="13">
        <v>4</v>
      </c>
      <c r="C51" s="14" t="s">
        <v>130</v>
      </c>
      <c r="D51" s="14" t="s">
        <v>20</v>
      </c>
      <c r="E51" s="13">
        <v>3</v>
      </c>
      <c r="F51" s="15">
        <v>35</v>
      </c>
      <c r="G51" s="15">
        <f t="shared" si="0"/>
        <v>105</v>
      </c>
      <c r="H51" s="16">
        <v>46032</v>
      </c>
      <c r="I51" s="14" t="s">
        <v>21</v>
      </c>
      <c r="J51" s="14" t="s">
        <v>131</v>
      </c>
      <c r="K51" s="14" t="s">
        <v>131</v>
      </c>
      <c r="L51" s="14">
        <f t="shared" si="1"/>
        <v>14</v>
      </c>
      <c r="M51" s="14" t="s">
        <v>23</v>
      </c>
      <c r="N51" s="14" t="s">
        <v>38</v>
      </c>
    </row>
    <row r="52" spans="1:14">
      <c r="A52" s="13">
        <v>27</v>
      </c>
      <c r="B52" s="13">
        <v>4</v>
      </c>
      <c r="C52" s="14" t="s">
        <v>132</v>
      </c>
      <c r="D52" s="14" t="s">
        <v>26</v>
      </c>
      <c r="E52" s="13">
        <v>2</v>
      </c>
      <c r="F52" s="15">
        <v>12.5</v>
      </c>
      <c r="G52" s="15">
        <f t="shared" si="0"/>
        <v>25</v>
      </c>
      <c r="H52" s="16">
        <v>46049</v>
      </c>
      <c r="I52" s="14" t="s">
        <v>27</v>
      </c>
      <c r="J52" s="14" t="s">
        <v>133</v>
      </c>
      <c r="K52" s="14" t="s">
        <v>133</v>
      </c>
      <c r="L52" s="14">
        <f t="shared" si="1"/>
        <v>31</v>
      </c>
      <c r="M52" s="14" t="s">
        <v>29</v>
      </c>
      <c r="N52" s="14" t="s">
        <v>72</v>
      </c>
    </row>
    <row r="53" spans="1:14">
      <c r="A53" s="13">
        <v>44</v>
      </c>
      <c r="B53" s="13">
        <v>4</v>
      </c>
      <c r="C53" s="14" t="s">
        <v>134</v>
      </c>
      <c r="D53" s="14" t="s">
        <v>32</v>
      </c>
      <c r="E53" s="13">
        <v>10</v>
      </c>
      <c r="F53" s="15">
        <v>22.5</v>
      </c>
      <c r="G53" s="15">
        <f t="shared" si="0"/>
        <v>225</v>
      </c>
      <c r="H53" s="16">
        <v>46066</v>
      </c>
      <c r="I53" s="14" t="s">
        <v>15</v>
      </c>
      <c r="J53" s="14" t="s">
        <v>135</v>
      </c>
      <c r="K53" s="14" t="s">
        <v>135</v>
      </c>
      <c r="L53" s="14">
        <f t="shared" si="1"/>
        <v>48</v>
      </c>
      <c r="M53" s="14" t="s">
        <v>34</v>
      </c>
      <c r="N53" s="14" t="s">
        <v>105</v>
      </c>
    </row>
    <row r="54" spans="1:14">
      <c r="A54" s="13">
        <v>61</v>
      </c>
      <c r="B54" s="13">
        <v>4</v>
      </c>
      <c r="C54" s="14" t="s">
        <v>136</v>
      </c>
      <c r="D54" s="14" t="s">
        <v>14</v>
      </c>
      <c r="E54" s="13">
        <v>9</v>
      </c>
      <c r="F54" s="15">
        <v>32.5</v>
      </c>
      <c r="G54" s="15">
        <f t="shared" si="0"/>
        <v>292.5</v>
      </c>
      <c r="H54" s="16">
        <v>46083</v>
      </c>
      <c r="I54" s="14" t="s">
        <v>21</v>
      </c>
      <c r="J54" s="14" t="s">
        <v>137</v>
      </c>
      <c r="K54" s="14" t="s">
        <v>137</v>
      </c>
      <c r="L54" s="14">
        <f t="shared" si="1"/>
        <v>65</v>
      </c>
      <c r="M54" s="14" t="s">
        <v>17</v>
      </c>
      <c r="N54" s="14" t="s">
        <v>35</v>
      </c>
    </row>
    <row r="55" spans="1:14">
      <c r="A55" s="13">
        <v>78</v>
      </c>
      <c r="B55" s="13">
        <v>4</v>
      </c>
      <c r="C55" s="14" t="s">
        <v>138</v>
      </c>
      <c r="D55" s="14" t="s">
        <v>20</v>
      </c>
      <c r="E55" s="13">
        <v>8</v>
      </c>
      <c r="F55" s="15">
        <v>10</v>
      </c>
      <c r="G55" s="15">
        <f t="shared" si="0"/>
        <v>80</v>
      </c>
      <c r="H55" s="16">
        <v>46100</v>
      </c>
      <c r="I55" s="14" t="s">
        <v>27</v>
      </c>
      <c r="J55" s="14" t="s">
        <v>139</v>
      </c>
      <c r="K55" s="14" t="s">
        <v>139</v>
      </c>
      <c r="L55" s="14">
        <f t="shared" si="1"/>
        <v>82</v>
      </c>
      <c r="M55" s="14" t="s">
        <v>23</v>
      </c>
      <c r="N55" s="14" t="s">
        <v>67</v>
      </c>
    </row>
    <row r="56" spans="1:14">
      <c r="A56" s="13">
        <v>11</v>
      </c>
      <c r="B56" s="13">
        <v>5</v>
      </c>
      <c r="C56" s="14" t="s">
        <v>140</v>
      </c>
      <c r="D56" s="14" t="s">
        <v>26</v>
      </c>
      <c r="E56" s="13">
        <v>4</v>
      </c>
      <c r="F56" s="15">
        <v>37.5</v>
      </c>
      <c r="G56" s="15">
        <f t="shared" si="0"/>
        <v>150</v>
      </c>
      <c r="H56" s="16">
        <v>46033</v>
      </c>
      <c r="I56" s="14" t="s">
        <v>15</v>
      </c>
      <c r="J56" s="14" t="s">
        <v>141</v>
      </c>
      <c r="K56" s="14" t="s">
        <v>141</v>
      </c>
      <c r="L56" s="14">
        <f t="shared" si="1"/>
        <v>16</v>
      </c>
      <c r="M56" s="14" t="s">
        <v>29</v>
      </c>
      <c r="N56" s="14" t="s">
        <v>18</v>
      </c>
    </row>
    <row r="57" spans="1:14">
      <c r="A57" s="13">
        <v>28</v>
      </c>
      <c r="B57" s="13">
        <v>5</v>
      </c>
      <c r="C57" s="14" t="s">
        <v>142</v>
      </c>
      <c r="D57" s="14" t="s">
        <v>32</v>
      </c>
      <c r="E57" s="13">
        <v>3</v>
      </c>
      <c r="F57" s="15">
        <v>15</v>
      </c>
      <c r="G57" s="15">
        <f t="shared" si="0"/>
        <v>45</v>
      </c>
      <c r="H57" s="16">
        <v>46050</v>
      </c>
      <c r="I57" s="14" t="s">
        <v>21</v>
      </c>
      <c r="J57" s="14" t="s">
        <v>143</v>
      </c>
      <c r="K57" s="14" t="s">
        <v>143</v>
      </c>
      <c r="L57" s="14">
        <f t="shared" si="1"/>
        <v>33</v>
      </c>
      <c r="M57" s="14" t="s">
        <v>34</v>
      </c>
      <c r="N57" s="14" t="s">
        <v>72</v>
      </c>
    </row>
    <row r="58" spans="1:14">
      <c r="A58" s="13">
        <v>45</v>
      </c>
      <c r="B58" s="13">
        <v>5</v>
      </c>
      <c r="C58" s="14" t="s">
        <v>144</v>
      </c>
      <c r="D58" s="14" t="s">
        <v>14</v>
      </c>
      <c r="E58" s="13">
        <v>2</v>
      </c>
      <c r="F58" s="15">
        <v>25</v>
      </c>
      <c r="G58" s="15">
        <f t="shared" si="0"/>
        <v>50</v>
      </c>
      <c r="H58" s="16">
        <v>46067</v>
      </c>
      <c r="I58" s="14" t="s">
        <v>27</v>
      </c>
      <c r="J58" s="14" t="s">
        <v>145</v>
      </c>
      <c r="K58" s="14" t="s">
        <v>145</v>
      </c>
      <c r="L58" s="14">
        <f t="shared" si="1"/>
        <v>50</v>
      </c>
      <c r="M58" s="14" t="s">
        <v>17</v>
      </c>
      <c r="N58" s="14" t="s">
        <v>105</v>
      </c>
    </row>
    <row r="59" spans="1:14">
      <c r="A59" s="13">
        <v>62</v>
      </c>
      <c r="B59" s="13">
        <v>5</v>
      </c>
      <c r="C59" s="14" t="s">
        <v>146</v>
      </c>
      <c r="D59" s="14" t="s">
        <v>20</v>
      </c>
      <c r="E59" s="13">
        <v>10</v>
      </c>
      <c r="F59" s="15">
        <v>35</v>
      </c>
      <c r="G59" s="15">
        <f t="shared" si="0"/>
        <v>350</v>
      </c>
      <c r="H59" s="16">
        <v>46084</v>
      </c>
      <c r="I59" s="14" t="s">
        <v>15</v>
      </c>
      <c r="J59" s="14" t="s">
        <v>147</v>
      </c>
      <c r="K59" s="14" t="s">
        <v>147</v>
      </c>
      <c r="L59" s="14">
        <f t="shared" si="1"/>
        <v>67</v>
      </c>
      <c r="M59" s="14" t="s">
        <v>23</v>
      </c>
      <c r="N59" s="14" t="s">
        <v>35</v>
      </c>
    </row>
    <row r="60" spans="1:14">
      <c r="A60" s="13">
        <v>79</v>
      </c>
      <c r="B60" s="13">
        <v>5</v>
      </c>
      <c r="C60" s="14" t="s">
        <v>148</v>
      </c>
      <c r="D60" s="14" t="s">
        <v>26</v>
      </c>
      <c r="E60" s="13">
        <v>9</v>
      </c>
      <c r="F60" s="15">
        <v>12.5</v>
      </c>
      <c r="G60" s="15">
        <f t="shared" si="0"/>
        <v>112.5</v>
      </c>
      <c r="H60" s="16">
        <v>46101</v>
      </c>
      <c r="I60" s="14" t="s">
        <v>21</v>
      </c>
      <c r="J60" s="14" t="s">
        <v>149</v>
      </c>
      <c r="K60" s="14" t="s">
        <v>149</v>
      </c>
      <c r="L60" s="14">
        <f t="shared" si="1"/>
        <v>84</v>
      </c>
      <c r="M60" s="14" t="s">
        <v>29</v>
      </c>
      <c r="N60" s="14" t="s">
        <v>67</v>
      </c>
    </row>
    <row r="61" spans="1:14">
      <c r="A61" s="13">
        <v>12</v>
      </c>
      <c r="B61" s="13">
        <v>6</v>
      </c>
      <c r="C61" s="14" t="s">
        <v>150</v>
      </c>
      <c r="D61" s="14" t="s">
        <v>32</v>
      </c>
      <c r="E61" s="13">
        <v>5</v>
      </c>
      <c r="F61" s="15">
        <v>40</v>
      </c>
      <c r="G61" s="15">
        <f t="shared" si="0"/>
        <v>200</v>
      </c>
      <c r="H61" s="16">
        <v>46034</v>
      </c>
      <c r="I61" s="14" t="s">
        <v>27</v>
      </c>
      <c r="J61" s="14" t="s">
        <v>151</v>
      </c>
      <c r="K61" s="14" t="s">
        <v>151</v>
      </c>
      <c r="L61" s="14">
        <f t="shared" si="1"/>
        <v>18</v>
      </c>
      <c r="M61" s="14" t="s">
        <v>34</v>
      </c>
      <c r="N61" s="14" t="s">
        <v>18</v>
      </c>
    </row>
    <row r="62" spans="1:14">
      <c r="A62" s="13">
        <v>29</v>
      </c>
      <c r="B62" s="13">
        <v>6</v>
      </c>
      <c r="C62" s="14" t="s">
        <v>152</v>
      </c>
      <c r="D62" s="14" t="s">
        <v>14</v>
      </c>
      <c r="E62" s="13">
        <v>4</v>
      </c>
      <c r="F62" s="15">
        <v>17.5</v>
      </c>
      <c r="G62" s="15">
        <f t="shared" si="0"/>
        <v>70</v>
      </c>
      <c r="H62" s="16">
        <v>46051</v>
      </c>
      <c r="I62" s="14" t="s">
        <v>15</v>
      </c>
      <c r="J62" s="14" t="s">
        <v>153</v>
      </c>
      <c r="K62" s="14" t="s">
        <v>153</v>
      </c>
      <c r="L62" s="14">
        <f t="shared" si="1"/>
        <v>35</v>
      </c>
      <c r="M62" s="14" t="s">
        <v>17</v>
      </c>
      <c r="N62" s="14" t="s">
        <v>72</v>
      </c>
    </row>
    <row r="63" spans="1:14">
      <c r="A63" s="13">
        <v>46</v>
      </c>
      <c r="B63" s="13">
        <v>6</v>
      </c>
      <c r="C63" s="14" t="s">
        <v>154</v>
      </c>
      <c r="D63" s="14" t="s">
        <v>20</v>
      </c>
      <c r="E63" s="13">
        <v>3</v>
      </c>
      <c r="F63" s="15">
        <v>27.5</v>
      </c>
      <c r="G63" s="15">
        <f t="shared" si="0"/>
        <v>82.5</v>
      </c>
      <c r="H63" s="16">
        <v>46068</v>
      </c>
      <c r="I63" s="14" t="s">
        <v>21</v>
      </c>
      <c r="J63" s="14" t="s">
        <v>155</v>
      </c>
      <c r="K63" s="14" t="s">
        <v>155</v>
      </c>
      <c r="L63" s="14">
        <f t="shared" si="1"/>
        <v>52</v>
      </c>
      <c r="M63" s="14" t="s">
        <v>23</v>
      </c>
      <c r="N63" s="14" t="s">
        <v>105</v>
      </c>
    </row>
    <row r="64" spans="1:14">
      <c r="A64" s="13">
        <v>63</v>
      </c>
      <c r="B64" s="13">
        <v>6</v>
      </c>
      <c r="C64" s="14" t="s">
        <v>156</v>
      </c>
      <c r="D64" s="14" t="s">
        <v>26</v>
      </c>
      <c r="E64" s="13">
        <v>2</v>
      </c>
      <c r="F64" s="15">
        <v>37.5</v>
      </c>
      <c r="G64" s="15">
        <f t="shared" si="0"/>
        <v>75</v>
      </c>
      <c r="H64" s="16">
        <v>46085</v>
      </c>
      <c r="I64" s="14" t="s">
        <v>27</v>
      </c>
      <c r="J64" s="14" t="s">
        <v>157</v>
      </c>
      <c r="K64" s="14" t="s">
        <v>157</v>
      </c>
      <c r="L64" s="14">
        <f t="shared" si="1"/>
        <v>69</v>
      </c>
      <c r="M64" s="14" t="s">
        <v>29</v>
      </c>
      <c r="N64" s="14" t="s">
        <v>35</v>
      </c>
    </row>
    <row r="65" spans="1:14">
      <c r="A65" s="13">
        <v>80</v>
      </c>
      <c r="B65" s="13">
        <v>6</v>
      </c>
      <c r="C65" s="14" t="s">
        <v>158</v>
      </c>
      <c r="D65" s="14" t="s">
        <v>32</v>
      </c>
      <c r="E65" s="13">
        <v>10</v>
      </c>
      <c r="F65" s="15">
        <v>15</v>
      </c>
      <c r="G65" s="15">
        <f t="shared" si="0"/>
        <v>150</v>
      </c>
      <c r="H65" s="16">
        <v>46102</v>
      </c>
      <c r="I65" s="14" t="s">
        <v>15</v>
      </c>
      <c r="J65" s="14" t="s">
        <v>159</v>
      </c>
      <c r="K65" s="14" t="s">
        <v>159</v>
      </c>
      <c r="L65" s="14">
        <f t="shared" si="1"/>
        <v>86</v>
      </c>
      <c r="M65" s="14" t="s">
        <v>34</v>
      </c>
      <c r="N65" s="14" t="s">
        <v>67</v>
      </c>
    </row>
    <row r="66" spans="1:14">
      <c r="A66" s="13">
        <v>13</v>
      </c>
      <c r="B66" s="13">
        <v>7</v>
      </c>
      <c r="C66" s="14" t="s">
        <v>160</v>
      </c>
      <c r="D66" s="14" t="s">
        <v>14</v>
      </c>
      <c r="E66" s="13">
        <v>6</v>
      </c>
      <c r="F66" s="15">
        <v>10</v>
      </c>
      <c r="G66" s="15">
        <f t="shared" ref="G66:G81" si="2">E66*F66</f>
        <v>60</v>
      </c>
      <c r="H66" s="16">
        <v>46035</v>
      </c>
      <c r="I66" s="14" t="s">
        <v>21</v>
      </c>
      <c r="J66" s="14" t="s">
        <v>161</v>
      </c>
      <c r="K66" s="14" t="s">
        <v>161</v>
      </c>
      <c r="L66" s="14">
        <f t="shared" ref="L66:L81" si="3">A66+B66</f>
        <v>20</v>
      </c>
      <c r="M66" s="14" t="s">
        <v>17</v>
      </c>
      <c r="N66" s="14" t="s">
        <v>18</v>
      </c>
    </row>
    <row r="67" spans="1:14">
      <c r="A67" s="13">
        <v>30</v>
      </c>
      <c r="B67" s="13">
        <v>7</v>
      </c>
      <c r="C67" s="14" t="s">
        <v>162</v>
      </c>
      <c r="D67" s="14" t="s">
        <v>20</v>
      </c>
      <c r="E67" s="13">
        <v>5</v>
      </c>
      <c r="F67" s="15">
        <v>20</v>
      </c>
      <c r="G67" s="15">
        <f t="shared" si="2"/>
        <v>100</v>
      </c>
      <c r="H67" s="16">
        <v>46052</v>
      </c>
      <c r="I67" s="14" t="s">
        <v>27</v>
      </c>
      <c r="J67" s="14" t="s">
        <v>163</v>
      </c>
      <c r="K67" s="14" t="s">
        <v>163</v>
      </c>
      <c r="L67" s="14">
        <f t="shared" si="3"/>
        <v>37</v>
      </c>
      <c r="M67" s="14" t="s">
        <v>23</v>
      </c>
      <c r="N67" s="14" t="s">
        <v>72</v>
      </c>
    </row>
    <row r="68" spans="1:14">
      <c r="A68" s="13">
        <v>47</v>
      </c>
      <c r="B68" s="13">
        <v>7</v>
      </c>
      <c r="C68" s="14" t="s">
        <v>164</v>
      </c>
      <c r="D68" s="14" t="s">
        <v>26</v>
      </c>
      <c r="E68" s="13">
        <v>4</v>
      </c>
      <c r="F68" s="15">
        <v>30</v>
      </c>
      <c r="G68" s="15">
        <f t="shared" si="2"/>
        <v>120</v>
      </c>
      <c r="H68" s="16">
        <v>46069</v>
      </c>
      <c r="I68" s="14" t="s">
        <v>15</v>
      </c>
      <c r="J68" s="14" t="s">
        <v>165</v>
      </c>
      <c r="K68" s="14" t="s">
        <v>165</v>
      </c>
      <c r="L68" s="14">
        <f t="shared" si="3"/>
        <v>54</v>
      </c>
      <c r="M68" s="14" t="s">
        <v>29</v>
      </c>
      <c r="N68" s="14" t="s">
        <v>105</v>
      </c>
    </row>
    <row r="69" spans="1:14">
      <c r="A69" s="13">
        <v>64</v>
      </c>
      <c r="B69" s="13">
        <v>7</v>
      </c>
      <c r="C69" s="14" t="s">
        <v>166</v>
      </c>
      <c r="D69" s="14" t="s">
        <v>32</v>
      </c>
      <c r="E69" s="13">
        <v>3</v>
      </c>
      <c r="F69" s="15">
        <v>40</v>
      </c>
      <c r="G69" s="15">
        <f t="shared" si="2"/>
        <v>120</v>
      </c>
      <c r="H69" s="16">
        <v>46086</v>
      </c>
      <c r="I69" s="14" t="s">
        <v>21</v>
      </c>
      <c r="J69" s="14" t="s">
        <v>167</v>
      </c>
      <c r="K69" s="14" t="s">
        <v>167</v>
      </c>
      <c r="L69" s="14">
        <f t="shared" si="3"/>
        <v>71</v>
      </c>
      <c r="M69" s="14" t="s">
        <v>34</v>
      </c>
      <c r="N69" s="14" t="s">
        <v>35</v>
      </c>
    </row>
    <row r="70" spans="1:14">
      <c r="A70" s="13">
        <v>14</v>
      </c>
      <c r="B70" s="13">
        <v>8</v>
      </c>
      <c r="C70" s="14" t="s">
        <v>168</v>
      </c>
      <c r="D70" s="14" t="s">
        <v>20</v>
      </c>
      <c r="E70" s="13">
        <v>7</v>
      </c>
      <c r="F70" s="15">
        <v>12.5</v>
      </c>
      <c r="G70" s="15">
        <f t="shared" si="2"/>
        <v>87.5</v>
      </c>
      <c r="H70" s="16">
        <v>46036</v>
      </c>
      <c r="I70" s="14" t="s">
        <v>15</v>
      </c>
      <c r="J70" s="14" t="s">
        <v>169</v>
      </c>
      <c r="K70" s="14" t="s">
        <v>169</v>
      </c>
      <c r="L70" s="14">
        <f t="shared" si="3"/>
        <v>22</v>
      </c>
      <c r="M70" s="14" t="s">
        <v>23</v>
      </c>
      <c r="N70" s="14" t="s">
        <v>18</v>
      </c>
    </row>
    <row r="71" spans="1:14">
      <c r="A71" s="13">
        <v>31</v>
      </c>
      <c r="B71" s="13">
        <v>8</v>
      </c>
      <c r="C71" s="14" t="s">
        <v>170</v>
      </c>
      <c r="D71" s="14" t="s">
        <v>26</v>
      </c>
      <c r="E71" s="13">
        <v>6</v>
      </c>
      <c r="F71" s="15">
        <v>22.5</v>
      </c>
      <c r="G71" s="15">
        <f t="shared" si="2"/>
        <v>135</v>
      </c>
      <c r="H71" s="16">
        <v>46053</v>
      </c>
      <c r="I71" s="14" t="s">
        <v>21</v>
      </c>
      <c r="J71" s="14" t="s">
        <v>171</v>
      </c>
      <c r="K71" s="14" t="s">
        <v>171</v>
      </c>
      <c r="L71" s="14">
        <f t="shared" si="3"/>
        <v>39</v>
      </c>
      <c r="M71" s="14" t="s">
        <v>29</v>
      </c>
      <c r="N71" s="14" t="s">
        <v>24</v>
      </c>
    </row>
    <row r="72" spans="1:14">
      <c r="A72" s="13">
        <v>48</v>
      </c>
      <c r="B72" s="13">
        <v>8</v>
      </c>
      <c r="C72" s="14" t="s">
        <v>172</v>
      </c>
      <c r="D72" s="14" t="s">
        <v>32</v>
      </c>
      <c r="E72" s="13">
        <v>5</v>
      </c>
      <c r="F72" s="15">
        <v>32.5</v>
      </c>
      <c r="G72" s="15">
        <f t="shared" si="2"/>
        <v>162.5</v>
      </c>
      <c r="H72" s="16">
        <v>46070</v>
      </c>
      <c r="I72" s="14" t="s">
        <v>27</v>
      </c>
      <c r="J72" s="14" t="s">
        <v>173</v>
      </c>
      <c r="K72" s="14" t="s">
        <v>173</v>
      </c>
      <c r="L72" s="14">
        <f t="shared" si="3"/>
        <v>56</v>
      </c>
      <c r="M72" s="14" t="s">
        <v>34</v>
      </c>
      <c r="N72" s="14" t="s">
        <v>105</v>
      </c>
    </row>
    <row r="73" spans="1:14">
      <c r="A73" s="13">
        <v>65</v>
      </c>
      <c r="B73" s="13">
        <v>8</v>
      </c>
      <c r="C73" s="14" t="s">
        <v>174</v>
      </c>
      <c r="D73" s="14" t="s">
        <v>14</v>
      </c>
      <c r="E73" s="13">
        <v>4</v>
      </c>
      <c r="F73" s="15">
        <v>10</v>
      </c>
      <c r="G73" s="15">
        <f t="shared" si="2"/>
        <v>40</v>
      </c>
      <c r="H73" s="16">
        <v>46087</v>
      </c>
      <c r="I73" s="14" t="s">
        <v>15</v>
      </c>
      <c r="J73" s="14" t="s">
        <v>175</v>
      </c>
      <c r="K73" s="14" t="s">
        <v>175</v>
      </c>
      <c r="L73" s="14">
        <f t="shared" si="3"/>
        <v>73</v>
      </c>
      <c r="M73" s="14" t="s">
        <v>17</v>
      </c>
      <c r="N73" s="14" t="s">
        <v>35</v>
      </c>
    </row>
    <row r="74" spans="1:14">
      <c r="A74" s="13">
        <v>15</v>
      </c>
      <c r="B74" s="13">
        <v>9</v>
      </c>
      <c r="C74" s="14" t="s">
        <v>176</v>
      </c>
      <c r="D74" s="14" t="s">
        <v>26</v>
      </c>
      <c r="E74" s="13">
        <v>8</v>
      </c>
      <c r="F74" s="15">
        <v>15</v>
      </c>
      <c r="G74" s="15">
        <f t="shared" si="2"/>
        <v>120</v>
      </c>
      <c r="H74" s="16">
        <v>46037</v>
      </c>
      <c r="I74" s="14" t="s">
        <v>27</v>
      </c>
      <c r="J74" s="14" t="s">
        <v>177</v>
      </c>
      <c r="K74" s="14" t="s">
        <v>177</v>
      </c>
      <c r="L74" s="14">
        <f t="shared" si="3"/>
        <v>24</v>
      </c>
      <c r="M74" s="14" t="s">
        <v>29</v>
      </c>
      <c r="N74" s="14" t="s">
        <v>18</v>
      </c>
    </row>
    <row r="75" spans="1:14">
      <c r="A75" s="13">
        <v>32</v>
      </c>
      <c r="B75" s="13">
        <v>9</v>
      </c>
      <c r="C75" s="14" t="s">
        <v>178</v>
      </c>
      <c r="D75" s="14" t="s">
        <v>32</v>
      </c>
      <c r="E75" s="13">
        <v>7</v>
      </c>
      <c r="F75" s="15">
        <v>25</v>
      </c>
      <c r="G75" s="15">
        <f t="shared" si="2"/>
        <v>175</v>
      </c>
      <c r="H75" s="16">
        <v>46054</v>
      </c>
      <c r="I75" s="14" t="s">
        <v>15</v>
      </c>
      <c r="J75" s="14" t="s">
        <v>179</v>
      </c>
      <c r="K75" s="14" t="s">
        <v>179</v>
      </c>
      <c r="L75" s="14">
        <f t="shared" si="3"/>
        <v>41</v>
      </c>
      <c r="M75" s="14" t="s">
        <v>34</v>
      </c>
      <c r="N75" s="14" t="s">
        <v>24</v>
      </c>
    </row>
    <row r="76" spans="1:14">
      <c r="A76" s="13">
        <v>49</v>
      </c>
      <c r="B76" s="13">
        <v>9</v>
      </c>
      <c r="C76" s="14" t="s">
        <v>180</v>
      </c>
      <c r="D76" s="14" t="s">
        <v>14</v>
      </c>
      <c r="E76" s="13">
        <v>6</v>
      </c>
      <c r="F76" s="15">
        <v>35</v>
      </c>
      <c r="G76" s="15">
        <f t="shared" si="2"/>
        <v>210</v>
      </c>
      <c r="H76" s="16">
        <v>46071</v>
      </c>
      <c r="I76" s="14" t="s">
        <v>21</v>
      </c>
      <c r="J76" s="14" t="s">
        <v>181</v>
      </c>
      <c r="K76" s="14" t="s">
        <v>181</v>
      </c>
      <c r="L76" s="14">
        <f t="shared" si="3"/>
        <v>58</v>
      </c>
      <c r="M76" s="14" t="s">
        <v>17</v>
      </c>
      <c r="N76" s="14" t="s">
        <v>105</v>
      </c>
    </row>
    <row r="77" spans="1:14">
      <c r="A77" s="13">
        <v>66</v>
      </c>
      <c r="B77" s="13">
        <v>9</v>
      </c>
      <c r="C77" s="14" t="s">
        <v>182</v>
      </c>
      <c r="D77" s="14" t="s">
        <v>20</v>
      </c>
      <c r="E77" s="13">
        <v>5</v>
      </c>
      <c r="F77" s="15">
        <v>12.5</v>
      </c>
      <c r="G77" s="15">
        <f t="shared" si="2"/>
        <v>62.5</v>
      </c>
      <c r="H77" s="16">
        <v>46088</v>
      </c>
      <c r="I77" s="14" t="s">
        <v>27</v>
      </c>
      <c r="J77" s="14" t="s">
        <v>183</v>
      </c>
      <c r="K77" s="14" t="s">
        <v>183</v>
      </c>
      <c r="L77" s="14">
        <f t="shared" si="3"/>
        <v>75</v>
      </c>
      <c r="M77" s="14" t="s">
        <v>23</v>
      </c>
      <c r="N77" s="14" t="s">
        <v>35</v>
      </c>
    </row>
    <row r="78" spans="1:14">
      <c r="A78" s="13">
        <v>16</v>
      </c>
      <c r="B78" s="13">
        <v>10</v>
      </c>
      <c r="C78" s="14" t="s">
        <v>184</v>
      </c>
      <c r="D78" s="14" t="s">
        <v>32</v>
      </c>
      <c r="E78" s="13">
        <v>9</v>
      </c>
      <c r="F78" s="15">
        <v>17.5</v>
      </c>
      <c r="G78" s="15">
        <f t="shared" si="2"/>
        <v>157.5</v>
      </c>
      <c r="H78" s="16">
        <v>46038</v>
      </c>
      <c r="I78" s="14" t="s">
        <v>21</v>
      </c>
      <c r="J78" s="14" t="s">
        <v>185</v>
      </c>
      <c r="K78" s="14" t="s">
        <v>185</v>
      </c>
      <c r="L78" s="14">
        <f t="shared" si="3"/>
        <v>26</v>
      </c>
      <c r="M78" s="14" t="s">
        <v>34</v>
      </c>
      <c r="N78" s="14" t="s">
        <v>18</v>
      </c>
    </row>
    <row r="79" spans="1:14">
      <c r="A79" s="13">
        <v>33</v>
      </c>
      <c r="B79" s="13">
        <v>10</v>
      </c>
      <c r="C79" s="14" t="s">
        <v>186</v>
      </c>
      <c r="D79" s="14" t="s">
        <v>14</v>
      </c>
      <c r="E79" s="13">
        <v>8</v>
      </c>
      <c r="F79" s="15">
        <v>27.5</v>
      </c>
      <c r="G79" s="15">
        <f t="shared" si="2"/>
        <v>220</v>
      </c>
      <c r="H79" s="16">
        <v>46055</v>
      </c>
      <c r="I79" s="14" t="s">
        <v>27</v>
      </c>
      <c r="J79" s="14" t="s">
        <v>187</v>
      </c>
      <c r="K79" s="14" t="s">
        <v>187</v>
      </c>
      <c r="L79" s="14">
        <f t="shared" si="3"/>
        <v>43</v>
      </c>
      <c r="M79" s="14" t="s">
        <v>17</v>
      </c>
      <c r="N79" s="14" t="s">
        <v>24</v>
      </c>
    </row>
    <row r="80" spans="1:14">
      <c r="A80" s="13">
        <v>50</v>
      </c>
      <c r="B80" s="13">
        <v>10</v>
      </c>
      <c r="C80" s="14" t="s">
        <v>188</v>
      </c>
      <c r="D80" s="14" t="s">
        <v>20</v>
      </c>
      <c r="E80" s="13">
        <v>7</v>
      </c>
      <c r="F80" s="15">
        <v>37.5</v>
      </c>
      <c r="G80" s="15">
        <f t="shared" si="2"/>
        <v>262.5</v>
      </c>
      <c r="H80" s="16">
        <v>46072</v>
      </c>
      <c r="I80" s="14" t="s">
        <v>15</v>
      </c>
      <c r="J80" s="14" t="s">
        <v>189</v>
      </c>
      <c r="K80" s="14" t="s">
        <v>189</v>
      </c>
      <c r="L80" s="14">
        <f t="shared" si="3"/>
        <v>60</v>
      </c>
      <c r="M80" s="14" t="s">
        <v>23</v>
      </c>
      <c r="N80" s="14" t="s">
        <v>105</v>
      </c>
    </row>
    <row r="81" spans="1:14">
      <c r="A81" s="17">
        <v>67</v>
      </c>
      <c r="B81" s="17">
        <v>10</v>
      </c>
      <c r="C81" s="18" t="s">
        <v>190</v>
      </c>
      <c r="D81" s="18" t="s">
        <v>26</v>
      </c>
      <c r="E81" s="17">
        <v>6</v>
      </c>
      <c r="F81" s="19">
        <v>15</v>
      </c>
      <c r="G81" s="19">
        <f t="shared" si="2"/>
        <v>90</v>
      </c>
      <c r="H81" s="20">
        <v>46089</v>
      </c>
      <c r="I81" s="18" t="s">
        <v>21</v>
      </c>
      <c r="J81" s="18" t="s">
        <v>191</v>
      </c>
      <c r="K81" s="18" t="s">
        <v>191</v>
      </c>
      <c r="L81" s="14">
        <f t="shared" si="3"/>
        <v>77</v>
      </c>
      <c r="M81" s="18" t="s">
        <v>29</v>
      </c>
      <c r="N81" s="18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topLeftCell="D2" workbookViewId="0">
      <selection activeCell="L2" sqref="$A1:$XFD1048576"/>
    </sheetView>
  </sheetViews>
  <sheetFormatPr defaultColWidth="9" defaultRowHeight="14.25"/>
  <cols>
    <col min="1" max="2" width="9" customWidth="1"/>
    <col min="3" max="3" width="25" customWidth="1"/>
    <col min="4" max="7" width="11" customWidth="1"/>
    <col min="8" max="8" width="14" customWidth="1"/>
    <col min="9" max="9" width="12" customWidth="1"/>
    <col min="10" max="12" width="18" customWidth="1"/>
    <col min="13" max="13" width="11" customWidth="1"/>
    <col min="14" max="14" width="10" customWidth="1"/>
  </cols>
  <sheetData>
    <row r="1" ht="24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3">
        <v>17</v>
      </c>
      <c r="B2" s="3">
        <v>-6</v>
      </c>
      <c r="C2" s="4" t="s">
        <v>13</v>
      </c>
      <c r="D2" s="4" t="s">
        <v>14</v>
      </c>
      <c r="E2" s="3">
        <v>10</v>
      </c>
      <c r="F2" s="5">
        <v>20</v>
      </c>
      <c r="G2" s="5">
        <f>E2*F2</f>
        <v>200</v>
      </c>
      <c r="H2" s="6">
        <v>46039</v>
      </c>
      <c r="I2" s="4" t="s">
        <v>15</v>
      </c>
      <c r="J2" s="4" t="s">
        <v>16</v>
      </c>
      <c r="K2" s="4" t="s">
        <v>16</v>
      </c>
      <c r="L2" s="4">
        <f>A2+B2</f>
        <v>11</v>
      </c>
      <c r="M2" s="4" t="s">
        <v>17</v>
      </c>
      <c r="N2" s="4" t="s">
        <v>18</v>
      </c>
    </row>
    <row r="3" spans="1:14">
      <c r="A3" s="3">
        <v>34</v>
      </c>
      <c r="B3" s="3">
        <v>-6</v>
      </c>
      <c r="C3" s="4" t="s">
        <v>19</v>
      </c>
      <c r="D3" s="4" t="s">
        <v>20</v>
      </c>
      <c r="E3" s="3">
        <v>9</v>
      </c>
      <c r="F3" s="5">
        <v>30</v>
      </c>
      <c r="G3" s="5">
        <f>E3*F3</f>
        <v>270</v>
      </c>
      <c r="H3" s="6">
        <v>46056</v>
      </c>
      <c r="I3" s="4" t="s">
        <v>21</v>
      </c>
      <c r="J3" s="4" t="s">
        <v>22</v>
      </c>
      <c r="K3" s="4" t="s">
        <v>22</v>
      </c>
      <c r="L3" s="4">
        <f t="shared" ref="L3:L34" si="0">A3+B3</f>
        <v>28</v>
      </c>
      <c r="M3" s="4" t="s">
        <v>23</v>
      </c>
      <c r="N3" s="4" t="s">
        <v>24</v>
      </c>
    </row>
    <row r="4" spans="1:14">
      <c r="A4" s="3">
        <v>51</v>
      </c>
      <c r="B4" s="3">
        <v>-6</v>
      </c>
      <c r="C4" s="4" t="s">
        <v>25</v>
      </c>
      <c r="D4" s="4" t="s">
        <v>26</v>
      </c>
      <c r="E4" s="3">
        <v>8</v>
      </c>
      <c r="F4" s="5">
        <v>40</v>
      </c>
      <c r="G4" s="5">
        <f>E4*F4</f>
        <v>320</v>
      </c>
      <c r="H4" s="6">
        <v>46073</v>
      </c>
      <c r="I4" s="4" t="s">
        <v>27</v>
      </c>
      <c r="J4" s="4" t="s">
        <v>28</v>
      </c>
      <c r="K4" s="4" t="s">
        <v>28</v>
      </c>
      <c r="L4" s="4">
        <f t="shared" si="0"/>
        <v>45</v>
      </c>
      <c r="M4" s="4" t="s">
        <v>29</v>
      </c>
      <c r="N4" s="4" t="s">
        <v>30</v>
      </c>
    </row>
    <row r="5" spans="1:14">
      <c r="A5" s="3">
        <v>68</v>
      </c>
      <c r="B5" s="3">
        <v>-6</v>
      </c>
      <c r="C5" s="4" t="s">
        <v>31</v>
      </c>
      <c r="D5" s="4" t="s">
        <v>32</v>
      </c>
      <c r="E5" s="3">
        <v>7</v>
      </c>
      <c r="F5" s="5">
        <v>17.5</v>
      </c>
      <c r="G5" s="5">
        <f>E5*F5</f>
        <v>122.5</v>
      </c>
      <c r="H5" s="6">
        <v>46090</v>
      </c>
      <c r="I5" s="4" t="s">
        <v>15</v>
      </c>
      <c r="J5" s="4" t="s">
        <v>33</v>
      </c>
      <c r="K5" s="4" t="s">
        <v>33</v>
      </c>
      <c r="L5" s="4">
        <f t="shared" si="0"/>
        <v>62</v>
      </c>
      <c r="M5" s="4" t="s">
        <v>34</v>
      </c>
      <c r="N5" s="4" t="s">
        <v>35</v>
      </c>
    </row>
    <row r="6" spans="1:14">
      <c r="A6" s="3">
        <v>1</v>
      </c>
      <c r="B6" s="3">
        <v>-5</v>
      </c>
      <c r="C6" s="4" t="s">
        <v>36</v>
      </c>
      <c r="D6" s="4" t="s">
        <v>14</v>
      </c>
      <c r="E6" s="3">
        <v>3</v>
      </c>
      <c r="F6" s="5">
        <v>12.5</v>
      </c>
      <c r="G6" s="5">
        <f>E6*F6</f>
        <v>37.5</v>
      </c>
      <c r="H6" s="6">
        <v>46023</v>
      </c>
      <c r="I6" s="4" t="s">
        <v>21</v>
      </c>
      <c r="J6" s="4" t="s">
        <v>37</v>
      </c>
      <c r="K6" s="4" t="s">
        <v>37</v>
      </c>
      <c r="L6" s="4">
        <f t="shared" si="0"/>
        <v>-4</v>
      </c>
      <c r="M6" s="4" t="s">
        <v>17</v>
      </c>
      <c r="N6" s="4" t="s">
        <v>38</v>
      </c>
    </row>
    <row r="7" spans="1:14">
      <c r="A7" s="3">
        <v>18</v>
      </c>
      <c r="B7" s="3">
        <v>-5</v>
      </c>
      <c r="C7" s="4" t="s">
        <v>39</v>
      </c>
      <c r="D7" s="4" t="s">
        <v>20</v>
      </c>
      <c r="E7" s="3">
        <v>2</v>
      </c>
      <c r="F7" s="5">
        <v>22.5</v>
      </c>
      <c r="G7" s="5">
        <f>E7*F7</f>
        <v>45</v>
      </c>
      <c r="H7" s="6">
        <v>46040</v>
      </c>
      <c r="I7" s="4" t="s">
        <v>27</v>
      </c>
      <c r="J7" s="4" t="s">
        <v>40</v>
      </c>
      <c r="K7" s="4" t="s">
        <v>40</v>
      </c>
      <c r="L7" s="4">
        <f t="shared" si="0"/>
        <v>13</v>
      </c>
      <c r="M7" s="4" t="s">
        <v>23</v>
      </c>
      <c r="N7" s="4" t="s">
        <v>18</v>
      </c>
    </row>
    <row r="8" spans="1:14">
      <c r="A8" s="3">
        <v>35</v>
      </c>
      <c r="B8" s="3">
        <v>-5</v>
      </c>
      <c r="C8" s="4" t="s">
        <v>41</v>
      </c>
      <c r="D8" s="4" t="s">
        <v>26</v>
      </c>
      <c r="E8" s="3">
        <v>10</v>
      </c>
      <c r="F8" s="5">
        <v>32.5</v>
      </c>
      <c r="G8" s="5">
        <f>E8*F8</f>
        <v>325</v>
      </c>
      <c r="H8" s="6">
        <v>46057</v>
      </c>
      <c r="I8" s="4" t="s">
        <v>15</v>
      </c>
      <c r="J8" s="4" t="s">
        <v>42</v>
      </c>
      <c r="K8" s="4" t="s">
        <v>42</v>
      </c>
      <c r="L8" s="4">
        <f t="shared" si="0"/>
        <v>30</v>
      </c>
      <c r="M8" s="4" t="s">
        <v>29</v>
      </c>
      <c r="N8" s="4" t="s">
        <v>24</v>
      </c>
    </row>
    <row r="9" spans="1:14">
      <c r="A9" s="3">
        <v>52</v>
      </c>
      <c r="B9" s="3">
        <v>-5</v>
      </c>
      <c r="C9" s="4" t="s">
        <v>43</v>
      </c>
      <c r="D9" s="4" t="s">
        <v>32</v>
      </c>
      <c r="E9" s="3">
        <v>9</v>
      </c>
      <c r="F9" s="5">
        <v>10</v>
      </c>
      <c r="G9" s="5">
        <f>E9*F9</f>
        <v>90</v>
      </c>
      <c r="H9" s="6">
        <v>46074</v>
      </c>
      <c r="I9" s="4" t="s">
        <v>21</v>
      </c>
      <c r="J9" s="4" t="s">
        <v>44</v>
      </c>
      <c r="K9" s="4" t="s">
        <v>44</v>
      </c>
      <c r="L9" s="4">
        <f t="shared" si="0"/>
        <v>47</v>
      </c>
      <c r="M9" s="4" t="s">
        <v>34</v>
      </c>
      <c r="N9" s="4" t="s">
        <v>30</v>
      </c>
    </row>
    <row r="10" spans="1:14">
      <c r="A10" s="3">
        <v>69</v>
      </c>
      <c r="B10" s="3">
        <v>-5</v>
      </c>
      <c r="C10" s="4" t="s">
        <v>45</v>
      </c>
      <c r="D10" s="4" t="s">
        <v>14</v>
      </c>
      <c r="E10" s="3">
        <v>8</v>
      </c>
      <c r="F10" s="5">
        <v>20</v>
      </c>
      <c r="G10" s="5">
        <f>E10*F10</f>
        <v>160</v>
      </c>
      <c r="H10" s="6">
        <v>46091</v>
      </c>
      <c r="I10" s="4" t="s">
        <v>27</v>
      </c>
      <c r="J10" s="4" t="s">
        <v>46</v>
      </c>
      <c r="K10" s="4" t="s">
        <v>46</v>
      </c>
      <c r="L10" s="4">
        <f t="shared" si="0"/>
        <v>64</v>
      </c>
      <c r="M10" s="4" t="s">
        <v>17</v>
      </c>
      <c r="N10" s="4" t="s">
        <v>35</v>
      </c>
    </row>
    <row r="11" spans="1:14">
      <c r="A11" s="3">
        <v>2</v>
      </c>
      <c r="B11" s="3">
        <v>-4</v>
      </c>
      <c r="C11" s="4" t="s">
        <v>47</v>
      </c>
      <c r="D11" s="4" t="s">
        <v>20</v>
      </c>
      <c r="E11" s="3">
        <v>4</v>
      </c>
      <c r="F11" s="5">
        <v>15</v>
      </c>
      <c r="G11" s="5">
        <f>E11*F11</f>
        <v>60</v>
      </c>
      <c r="H11" s="6">
        <v>46024</v>
      </c>
      <c r="I11" s="4" t="s">
        <v>15</v>
      </c>
      <c r="J11" s="4" t="s">
        <v>48</v>
      </c>
      <c r="K11" s="4" t="s">
        <v>48</v>
      </c>
      <c r="L11" s="4">
        <f t="shared" si="0"/>
        <v>-2</v>
      </c>
      <c r="M11" s="4" t="s">
        <v>23</v>
      </c>
      <c r="N11" s="4" t="s">
        <v>38</v>
      </c>
    </row>
    <row r="12" spans="1:14">
      <c r="A12" s="3">
        <v>19</v>
      </c>
      <c r="B12" s="3">
        <v>-4</v>
      </c>
      <c r="C12" s="4" t="s">
        <v>49</v>
      </c>
      <c r="D12" s="4" t="s">
        <v>26</v>
      </c>
      <c r="E12" s="3">
        <v>3</v>
      </c>
      <c r="F12" s="5">
        <v>25</v>
      </c>
      <c r="G12" s="5">
        <f>E12*F12</f>
        <v>75</v>
      </c>
      <c r="H12" s="6">
        <v>46041</v>
      </c>
      <c r="I12" s="4" t="s">
        <v>21</v>
      </c>
      <c r="J12" s="4" t="s">
        <v>50</v>
      </c>
      <c r="K12" s="4" t="s">
        <v>50</v>
      </c>
      <c r="L12" s="4">
        <f t="shared" si="0"/>
        <v>15</v>
      </c>
      <c r="M12" s="4" t="s">
        <v>29</v>
      </c>
      <c r="N12" s="4" t="s">
        <v>18</v>
      </c>
    </row>
    <row r="13" spans="1:14">
      <c r="A13" s="3">
        <v>36</v>
      </c>
      <c r="B13" s="3">
        <v>-4</v>
      </c>
      <c r="C13" s="4" t="s">
        <v>51</v>
      </c>
      <c r="D13" s="4" t="s">
        <v>32</v>
      </c>
      <c r="E13" s="3">
        <v>2</v>
      </c>
      <c r="F13" s="5">
        <v>35</v>
      </c>
      <c r="G13" s="5">
        <f>E13*F13</f>
        <v>70</v>
      </c>
      <c r="H13" s="6">
        <v>46058</v>
      </c>
      <c r="I13" s="4" t="s">
        <v>27</v>
      </c>
      <c r="J13" s="4" t="s">
        <v>52</v>
      </c>
      <c r="K13" s="4" t="s">
        <v>52</v>
      </c>
      <c r="L13" s="4">
        <f t="shared" si="0"/>
        <v>32</v>
      </c>
      <c r="M13" s="4" t="s">
        <v>34</v>
      </c>
      <c r="N13" s="4" t="s">
        <v>24</v>
      </c>
    </row>
    <row r="14" spans="1:14">
      <c r="A14" s="3">
        <v>53</v>
      </c>
      <c r="B14" s="3">
        <v>-4</v>
      </c>
      <c r="C14" s="4" t="s">
        <v>53</v>
      </c>
      <c r="D14" s="4" t="s">
        <v>14</v>
      </c>
      <c r="E14" s="3">
        <v>10</v>
      </c>
      <c r="F14" s="5">
        <v>12.5</v>
      </c>
      <c r="G14" s="5">
        <f>E14*F14</f>
        <v>125</v>
      </c>
      <c r="H14" s="6">
        <v>46075</v>
      </c>
      <c r="I14" s="4" t="s">
        <v>15</v>
      </c>
      <c r="J14" s="4" t="s">
        <v>54</v>
      </c>
      <c r="K14" s="4" t="s">
        <v>54</v>
      </c>
      <c r="L14" s="4">
        <f t="shared" si="0"/>
        <v>49</v>
      </c>
      <c r="M14" s="4" t="s">
        <v>17</v>
      </c>
      <c r="N14" s="4" t="s">
        <v>30</v>
      </c>
    </row>
    <row r="15" spans="1:14">
      <c r="A15" s="3">
        <v>70</v>
      </c>
      <c r="B15" s="3">
        <v>-4</v>
      </c>
      <c r="C15" s="4" t="s">
        <v>55</v>
      </c>
      <c r="D15" s="4" t="s">
        <v>20</v>
      </c>
      <c r="E15" s="3">
        <v>9</v>
      </c>
      <c r="F15" s="5">
        <v>22.5</v>
      </c>
      <c r="G15" s="5">
        <f>E15*F15</f>
        <v>202.5</v>
      </c>
      <c r="H15" s="6">
        <v>46092</v>
      </c>
      <c r="I15" s="4" t="s">
        <v>21</v>
      </c>
      <c r="J15" s="4" t="s">
        <v>56</v>
      </c>
      <c r="K15" s="4" t="s">
        <v>56</v>
      </c>
      <c r="L15" s="4">
        <f t="shared" si="0"/>
        <v>66</v>
      </c>
      <c r="M15" s="4" t="s">
        <v>23</v>
      </c>
      <c r="N15" s="4" t="s">
        <v>35</v>
      </c>
    </row>
    <row r="16" spans="1:14">
      <c r="A16" s="3">
        <v>3</v>
      </c>
      <c r="B16" s="3">
        <v>-3</v>
      </c>
      <c r="C16" s="4" t="s">
        <v>57</v>
      </c>
      <c r="D16" s="4" t="s">
        <v>26</v>
      </c>
      <c r="E16" s="3">
        <v>5</v>
      </c>
      <c r="F16" s="5">
        <v>17.5</v>
      </c>
      <c r="G16" s="5">
        <f>E16*F16</f>
        <v>87.5</v>
      </c>
      <c r="H16" s="6">
        <v>46025</v>
      </c>
      <c r="I16" s="4" t="s">
        <v>27</v>
      </c>
      <c r="J16" s="4" t="s">
        <v>58</v>
      </c>
      <c r="K16" s="4" t="s">
        <v>58</v>
      </c>
      <c r="L16" s="4">
        <f t="shared" si="0"/>
        <v>0</v>
      </c>
      <c r="M16" s="4" t="s">
        <v>29</v>
      </c>
      <c r="N16" s="4" t="s">
        <v>38</v>
      </c>
    </row>
    <row r="17" spans="1:14">
      <c r="A17" s="3">
        <v>20</v>
      </c>
      <c r="B17" s="3">
        <v>-3</v>
      </c>
      <c r="C17" s="4" t="s">
        <v>59</v>
      </c>
      <c r="D17" s="4" t="s">
        <v>32</v>
      </c>
      <c r="E17" s="3">
        <v>4</v>
      </c>
      <c r="F17" s="5">
        <v>27.5</v>
      </c>
      <c r="G17" s="5">
        <f>E17*F17</f>
        <v>110</v>
      </c>
      <c r="H17" s="6">
        <v>46042</v>
      </c>
      <c r="I17" s="4" t="s">
        <v>15</v>
      </c>
      <c r="J17" s="4" t="s">
        <v>60</v>
      </c>
      <c r="K17" s="4" t="s">
        <v>60</v>
      </c>
      <c r="L17" s="4">
        <f t="shared" si="0"/>
        <v>17</v>
      </c>
      <c r="M17" s="4" t="s">
        <v>34</v>
      </c>
      <c r="N17" s="4" t="s">
        <v>18</v>
      </c>
    </row>
    <row r="18" spans="1:14">
      <c r="A18" s="3">
        <v>37</v>
      </c>
      <c r="B18" s="3">
        <v>-3</v>
      </c>
      <c r="C18" s="4" t="s">
        <v>61</v>
      </c>
      <c r="D18" s="4" t="s">
        <v>14</v>
      </c>
      <c r="E18" s="3">
        <v>3</v>
      </c>
      <c r="F18" s="5">
        <v>37.5</v>
      </c>
      <c r="G18" s="5">
        <f>E18*F18</f>
        <v>112.5</v>
      </c>
      <c r="H18" s="6">
        <v>46059</v>
      </c>
      <c r="I18" s="4" t="s">
        <v>21</v>
      </c>
      <c r="J18" s="4" t="s">
        <v>62</v>
      </c>
      <c r="K18" s="4" t="s">
        <v>62</v>
      </c>
      <c r="L18" s="4">
        <f t="shared" si="0"/>
        <v>34</v>
      </c>
      <c r="M18" s="4" t="s">
        <v>17</v>
      </c>
      <c r="N18" s="4" t="s">
        <v>24</v>
      </c>
    </row>
    <row r="19" spans="1:14">
      <c r="A19" s="3">
        <v>54</v>
      </c>
      <c r="B19" s="3">
        <v>-3</v>
      </c>
      <c r="C19" s="4" t="s">
        <v>63</v>
      </c>
      <c r="D19" s="4" t="s">
        <v>20</v>
      </c>
      <c r="E19" s="3">
        <v>2</v>
      </c>
      <c r="F19" s="5">
        <v>15</v>
      </c>
      <c r="G19" s="5">
        <f>E19*F19</f>
        <v>30</v>
      </c>
      <c r="H19" s="6">
        <v>46076</v>
      </c>
      <c r="I19" s="4" t="s">
        <v>27</v>
      </c>
      <c r="J19" s="4" t="s">
        <v>64</v>
      </c>
      <c r="K19" s="4" t="s">
        <v>64</v>
      </c>
      <c r="L19" s="4">
        <f t="shared" si="0"/>
        <v>51</v>
      </c>
      <c r="M19" s="4" t="s">
        <v>23</v>
      </c>
      <c r="N19" s="4" t="s">
        <v>30</v>
      </c>
    </row>
    <row r="20" spans="1:14">
      <c r="A20" s="3">
        <v>71</v>
      </c>
      <c r="B20" s="3">
        <v>-3</v>
      </c>
      <c r="C20" s="4" t="s">
        <v>65</v>
      </c>
      <c r="D20" s="4" t="s">
        <v>26</v>
      </c>
      <c r="E20" s="3">
        <v>10</v>
      </c>
      <c r="F20" s="5">
        <v>25</v>
      </c>
      <c r="G20" s="5">
        <f>E20*F20</f>
        <v>250</v>
      </c>
      <c r="H20" s="6">
        <v>46093</v>
      </c>
      <c r="I20" s="4" t="s">
        <v>15</v>
      </c>
      <c r="J20" s="4" t="s">
        <v>66</v>
      </c>
      <c r="K20" s="4" t="s">
        <v>66</v>
      </c>
      <c r="L20" s="4">
        <f t="shared" si="0"/>
        <v>68</v>
      </c>
      <c r="M20" s="4" t="s">
        <v>29</v>
      </c>
      <c r="N20" s="4" t="s">
        <v>67</v>
      </c>
    </row>
    <row r="21" spans="1:14">
      <c r="A21" s="3">
        <v>4</v>
      </c>
      <c r="B21" s="3">
        <v>-2</v>
      </c>
      <c r="C21" s="4" t="s">
        <v>68</v>
      </c>
      <c r="D21" s="4" t="s">
        <v>32</v>
      </c>
      <c r="E21" s="3">
        <v>6</v>
      </c>
      <c r="F21" s="5">
        <v>20</v>
      </c>
      <c r="G21" s="5">
        <f>E21*F21</f>
        <v>120</v>
      </c>
      <c r="H21" s="6">
        <v>46026</v>
      </c>
      <c r="I21" s="4" t="s">
        <v>21</v>
      </c>
      <c r="J21" s="4" t="s">
        <v>69</v>
      </c>
      <c r="K21" s="4" t="s">
        <v>69</v>
      </c>
      <c r="L21" s="4">
        <f t="shared" si="0"/>
        <v>2</v>
      </c>
      <c r="M21" s="4" t="s">
        <v>34</v>
      </c>
      <c r="N21" s="4" t="s">
        <v>38</v>
      </c>
    </row>
    <row r="22" spans="1:14">
      <c r="A22" s="3">
        <v>21</v>
      </c>
      <c r="B22" s="3">
        <v>-2</v>
      </c>
      <c r="C22" s="4" t="s">
        <v>70</v>
      </c>
      <c r="D22" s="4" t="s">
        <v>14</v>
      </c>
      <c r="E22" s="3">
        <v>5</v>
      </c>
      <c r="F22" s="5">
        <v>30</v>
      </c>
      <c r="G22" s="5">
        <f>E22*F22</f>
        <v>150</v>
      </c>
      <c r="H22" s="6">
        <v>46043</v>
      </c>
      <c r="I22" s="4" t="s">
        <v>27</v>
      </c>
      <c r="J22" s="4" t="s">
        <v>71</v>
      </c>
      <c r="K22" s="4" t="s">
        <v>71</v>
      </c>
      <c r="L22" s="4">
        <f t="shared" si="0"/>
        <v>19</v>
      </c>
      <c r="M22" s="4" t="s">
        <v>17</v>
      </c>
      <c r="N22" s="4" t="s">
        <v>72</v>
      </c>
    </row>
    <row r="23" spans="1:14">
      <c r="A23" s="3">
        <v>38</v>
      </c>
      <c r="B23" s="3">
        <v>-2</v>
      </c>
      <c r="C23" s="4" t="s">
        <v>73</v>
      </c>
      <c r="D23" s="4" t="s">
        <v>20</v>
      </c>
      <c r="E23" s="3">
        <v>4</v>
      </c>
      <c r="F23" s="5">
        <v>40</v>
      </c>
      <c r="G23" s="5">
        <f>E23*F23</f>
        <v>160</v>
      </c>
      <c r="H23" s="6">
        <v>46060</v>
      </c>
      <c r="I23" s="4" t="s">
        <v>15</v>
      </c>
      <c r="J23" s="4" t="s">
        <v>74</v>
      </c>
      <c r="K23" s="4" t="s">
        <v>74</v>
      </c>
      <c r="L23" s="4">
        <f t="shared" si="0"/>
        <v>36</v>
      </c>
      <c r="M23" s="4" t="s">
        <v>23</v>
      </c>
      <c r="N23" s="4" t="s">
        <v>24</v>
      </c>
    </row>
    <row r="24" spans="1:14">
      <c r="A24" s="3">
        <v>55</v>
      </c>
      <c r="B24" s="3">
        <v>-2</v>
      </c>
      <c r="C24" s="4" t="s">
        <v>75</v>
      </c>
      <c r="D24" s="4" t="s">
        <v>26</v>
      </c>
      <c r="E24" s="3">
        <v>3</v>
      </c>
      <c r="F24" s="5">
        <v>17.5</v>
      </c>
      <c r="G24" s="5">
        <f>E24*F24</f>
        <v>52.5</v>
      </c>
      <c r="H24" s="6">
        <v>46077</v>
      </c>
      <c r="I24" s="4" t="s">
        <v>21</v>
      </c>
      <c r="J24" s="4" t="s">
        <v>76</v>
      </c>
      <c r="K24" s="4" t="s">
        <v>76</v>
      </c>
      <c r="L24" s="4">
        <f t="shared" si="0"/>
        <v>53</v>
      </c>
      <c r="M24" s="4" t="s">
        <v>29</v>
      </c>
      <c r="N24" s="4" t="s">
        <v>30</v>
      </c>
    </row>
    <row r="25" spans="1:14">
      <c r="A25" s="3">
        <v>72</v>
      </c>
      <c r="B25" s="3">
        <v>-2</v>
      </c>
      <c r="C25" s="4" t="s">
        <v>77</v>
      </c>
      <c r="D25" s="4" t="s">
        <v>32</v>
      </c>
      <c r="E25" s="3">
        <v>2</v>
      </c>
      <c r="F25" s="5">
        <v>27.5</v>
      </c>
      <c r="G25" s="5">
        <f>E25*F25</f>
        <v>55</v>
      </c>
      <c r="H25" s="6">
        <v>46094</v>
      </c>
      <c r="I25" s="4" t="s">
        <v>27</v>
      </c>
      <c r="J25" s="4" t="s">
        <v>78</v>
      </c>
      <c r="K25" s="4" t="s">
        <v>78</v>
      </c>
      <c r="L25" s="4">
        <f t="shared" si="0"/>
        <v>70</v>
      </c>
      <c r="M25" s="4" t="s">
        <v>34</v>
      </c>
      <c r="N25" s="4" t="s">
        <v>67</v>
      </c>
    </row>
    <row r="26" spans="1:14">
      <c r="A26" s="3">
        <v>5</v>
      </c>
      <c r="B26" s="3">
        <v>-1</v>
      </c>
      <c r="C26" s="4" t="s">
        <v>79</v>
      </c>
      <c r="D26" s="4" t="s">
        <v>14</v>
      </c>
      <c r="E26" s="3">
        <v>7</v>
      </c>
      <c r="F26" s="5">
        <v>22.5</v>
      </c>
      <c r="G26" s="5">
        <f>E26*F26</f>
        <v>157.5</v>
      </c>
      <c r="H26" s="6">
        <v>46027</v>
      </c>
      <c r="I26" s="4" t="s">
        <v>15</v>
      </c>
      <c r="J26" s="4" t="s">
        <v>80</v>
      </c>
      <c r="K26" s="4" t="s">
        <v>80</v>
      </c>
      <c r="L26" s="4">
        <f t="shared" si="0"/>
        <v>4</v>
      </c>
      <c r="M26" s="4" t="s">
        <v>17</v>
      </c>
      <c r="N26" s="4" t="s">
        <v>38</v>
      </c>
    </row>
    <row r="27" spans="1:14">
      <c r="A27" s="3">
        <v>22</v>
      </c>
      <c r="B27" s="3">
        <v>-1</v>
      </c>
      <c r="C27" s="4" t="s">
        <v>81</v>
      </c>
      <c r="D27" s="4" t="s">
        <v>20</v>
      </c>
      <c r="E27" s="3">
        <v>6</v>
      </c>
      <c r="F27" s="5">
        <v>32.5</v>
      </c>
      <c r="G27" s="5">
        <f>E27*F27</f>
        <v>195</v>
      </c>
      <c r="H27" s="6">
        <v>46044</v>
      </c>
      <c r="I27" s="4" t="s">
        <v>21</v>
      </c>
      <c r="J27" s="4" t="s">
        <v>82</v>
      </c>
      <c r="K27" s="4" t="s">
        <v>82</v>
      </c>
      <c r="L27" s="4">
        <f t="shared" si="0"/>
        <v>21</v>
      </c>
      <c r="M27" s="4" t="s">
        <v>23</v>
      </c>
      <c r="N27" s="4" t="s">
        <v>72</v>
      </c>
    </row>
    <row r="28" spans="1:14">
      <c r="A28" s="3">
        <v>39</v>
      </c>
      <c r="B28" s="3">
        <v>-1</v>
      </c>
      <c r="C28" s="4" t="s">
        <v>83</v>
      </c>
      <c r="D28" s="4" t="s">
        <v>26</v>
      </c>
      <c r="E28" s="3">
        <v>5</v>
      </c>
      <c r="F28" s="5">
        <v>10</v>
      </c>
      <c r="G28" s="5">
        <f>E28*F28</f>
        <v>50</v>
      </c>
      <c r="H28" s="6">
        <v>46061</v>
      </c>
      <c r="I28" s="4" t="s">
        <v>27</v>
      </c>
      <c r="J28" s="4" t="s">
        <v>84</v>
      </c>
      <c r="K28" s="4" t="s">
        <v>84</v>
      </c>
      <c r="L28" s="4">
        <f t="shared" si="0"/>
        <v>38</v>
      </c>
      <c r="M28" s="4" t="s">
        <v>29</v>
      </c>
      <c r="N28" s="4" t="s">
        <v>24</v>
      </c>
    </row>
    <row r="29" spans="1:14">
      <c r="A29" s="3">
        <v>56</v>
      </c>
      <c r="B29" s="3">
        <v>-1</v>
      </c>
      <c r="C29" s="4" t="s">
        <v>85</v>
      </c>
      <c r="D29" s="4" t="s">
        <v>32</v>
      </c>
      <c r="E29" s="3">
        <v>4</v>
      </c>
      <c r="F29" s="5">
        <v>20</v>
      </c>
      <c r="G29" s="5">
        <f>E29*F29</f>
        <v>80</v>
      </c>
      <c r="H29" s="6">
        <v>46078</v>
      </c>
      <c r="I29" s="4" t="s">
        <v>15</v>
      </c>
      <c r="J29" s="4" t="s">
        <v>86</v>
      </c>
      <c r="K29" s="4" t="s">
        <v>86</v>
      </c>
      <c r="L29" s="4">
        <f t="shared" si="0"/>
        <v>55</v>
      </c>
      <c r="M29" s="4" t="s">
        <v>34</v>
      </c>
      <c r="N29" s="4" t="s">
        <v>30</v>
      </c>
    </row>
    <row r="30" spans="1:14">
      <c r="A30" s="3">
        <v>73</v>
      </c>
      <c r="B30" s="3">
        <v>-1</v>
      </c>
      <c r="C30" s="4" t="s">
        <v>87</v>
      </c>
      <c r="D30" s="4" t="s">
        <v>14</v>
      </c>
      <c r="E30" s="3">
        <v>3</v>
      </c>
      <c r="F30" s="5">
        <v>30</v>
      </c>
      <c r="G30" s="5">
        <f>E30*F30</f>
        <v>90</v>
      </c>
      <c r="H30" s="6">
        <v>46095</v>
      </c>
      <c r="I30" s="4" t="s">
        <v>21</v>
      </c>
      <c r="J30" s="4" t="s">
        <v>88</v>
      </c>
      <c r="K30" s="4" t="s">
        <v>88</v>
      </c>
      <c r="L30" s="4">
        <f t="shared" si="0"/>
        <v>72</v>
      </c>
      <c r="M30" s="4" t="s">
        <v>17</v>
      </c>
      <c r="N30" s="4" t="s">
        <v>67</v>
      </c>
    </row>
    <row r="31" spans="1:14">
      <c r="A31" s="3">
        <v>6</v>
      </c>
      <c r="B31" s="3">
        <v>0</v>
      </c>
      <c r="C31" s="4" t="s">
        <v>89</v>
      </c>
      <c r="D31" s="4" t="s">
        <v>20</v>
      </c>
      <c r="E31" s="3">
        <v>8</v>
      </c>
      <c r="F31" s="5">
        <v>25</v>
      </c>
      <c r="G31" s="5">
        <f>E31*F31</f>
        <v>200</v>
      </c>
      <c r="H31" s="6">
        <v>46028</v>
      </c>
      <c r="I31" s="4" t="s">
        <v>27</v>
      </c>
      <c r="J31" s="4" t="s">
        <v>90</v>
      </c>
      <c r="K31" s="4" t="s">
        <v>90</v>
      </c>
      <c r="L31" s="4">
        <f t="shared" si="0"/>
        <v>6</v>
      </c>
      <c r="M31" s="4" t="s">
        <v>23</v>
      </c>
      <c r="N31" s="4" t="s">
        <v>38</v>
      </c>
    </row>
    <row r="32" spans="1:14">
      <c r="A32" s="3">
        <v>23</v>
      </c>
      <c r="B32" s="3">
        <v>0</v>
      </c>
      <c r="C32" s="4" t="s">
        <v>91</v>
      </c>
      <c r="D32" s="4" t="s">
        <v>26</v>
      </c>
      <c r="E32" s="3">
        <v>7</v>
      </c>
      <c r="F32" s="5">
        <v>35</v>
      </c>
      <c r="G32" s="5">
        <f>E32*F32</f>
        <v>245</v>
      </c>
      <c r="H32" s="6">
        <v>46045</v>
      </c>
      <c r="I32" s="4" t="s">
        <v>15</v>
      </c>
      <c r="J32" s="4" t="s">
        <v>92</v>
      </c>
      <c r="K32" s="4" t="s">
        <v>92</v>
      </c>
      <c r="L32" s="4">
        <f t="shared" si="0"/>
        <v>23</v>
      </c>
      <c r="M32" s="4" t="s">
        <v>29</v>
      </c>
      <c r="N32" s="4" t="s">
        <v>72</v>
      </c>
    </row>
    <row r="33" spans="1:14">
      <c r="A33" s="3">
        <v>40</v>
      </c>
      <c r="B33" s="3">
        <v>0</v>
      </c>
      <c r="C33" s="4" t="s">
        <v>93</v>
      </c>
      <c r="D33" s="4" t="s">
        <v>32</v>
      </c>
      <c r="E33" s="3">
        <v>6</v>
      </c>
      <c r="F33" s="5">
        <v>12.5</v>
      </c>
      <c r="G33" s="5">
        <f>E33*F33</f>
        <v>75</v>
      </c>
      <c r="H33" s="6">
        <v>46062</v>
      </c>
      <c r="I33" s="4" t="s">
        <v>21</v>
      </c>
      <c r="J33" s="4" t="s">
        <v>94</v>
      </c>
      <c r="K33" s="4" t="s">
        <v>94</v>
      </c>
      <c r="L33" s="4">
        <f t="shared" si="0"/>
        <v>40</v>
      </c>
      <c r="M33" s="4" t="s">
        <v>34</v>
      </c>
      <c r="N33" s="4" t="s">
        <v>24</v>
      </c>
    </row>
    <row r="34" spans="1:14">
      <c r="A34" s="3">
        <v>57</v>
      </c>
      <c r="B34" s="3">
        <v>0</v>
      </c>
      <c r="C34" s="4" t="s">
        <v>95</v>
      </c>
      <c r="D34" s="4" t="s">
        <v>14</v>
      </c>
      <c r="E34" s="3">
        <v>5</v>
      </c>
      <c r="F34" s="5">
        <v>22.5</v>
      </c>
      <c r="G34" s="5">
        <f>E34*F34</f>
        <v>112.5</v>
      </c>
      <c r="H34" s="6">
        <v>46079</v>
      </c>
      <c r="I34" s="4" t="s">
        <v>27</v>
      </c>
      <c r="J34" s="4" t="s">
        <v>96</v>
      </c>
      <c r="K34" s="4" t="s">
        <v>96</v>
      </c>
      <c r="L34" s="4">
        <f t="shared" si="0"/>
        <v>57</v>
      </c>
      <c r="M34" s="4" t="s">
        <v>17</v>
      </c>
      <c r="N34" s="4" t="s">
        <v>30</v>
      </c>
    </row>
    <row r="35" spans="1:14">
      <c r="A35" s="3">
        <v>74</v>
      </c>
      <c r="B35" s="3">
        <v>0</v>
      </c>
      <c r="C35" s="4" t="s">
        <v>97</v>
      </c>
      <c r="D35" s="4" t="s">
        <v>20</v>
      </c>
      <c r="E35" s="3">
        <v>4</v>
      </c>
      <c r="F35" s="5">
        <v>32.5</v>
      </c>
      <c r="G35" s="5">
        <f>E35*F35</f>
        <v>130</v>
      </c>
      <c r="H35" s="6">
        <v>46096</v>
      </c>
      <c r="I35" s="4" t="s">
        <v>15</v>
      </c>
      <c r="J35" s="4" t="s">
        <v>98</v>
      </c>
      <c r="K35" s="4" t="s">
        <v>98</v>
      </c>
      <c r="L35" s="4">
        <f t="shared" ref="L35:L66" si="1">A35+B35</f>
        <v>74</v>
      </c>
      <c r="M35" s="4" t="s">
        <v>23</v>
      </c>
      <c r="N35" s="4" t="s">
        <v>67</v>
      </c>
    </row>
    <row r="36" spans="1:14">
      <c r="A36" s="3">
        <v>7</v>
      </c>
      <c r="B36" s="3">
        <v>1</v>
      </c>
      <c r="C36" s="4" t="s">
        <v>99</v>
      </c>
      <c r="D36" s="4" t="s">
        <v>26</v>
      </c>
      <c r="E36" s="3">
        <v>9</v>
      </c>
      <c r="F36" s="5">
        <v>27.5</v>
      </c>
      <c r="G36" s="5">
        <f>E36*F36</f>
        <v>247.5</v>
      </c>
      <c r="H36" s="6">
        <v>46029</v>
      </c>
      <c r="I36" s="4" t="s">
        <v>21</v>
      </c>
      <c r="J36" s="4" t="s">
        <v>100</v>
      </c>
      <c r="K36" s="4" t="s">
        <v>100</v>
      </c>
      <c r="L36" s="4">
        <f t="shared" si="1"/>
        <v>8</v>
      </c>
      <c r="M36" s="4" t="s">
        <v>29</v>
      </c>
      <c r="N36" s="4" t="s">
        <v>38</v>
      </c>
    </row>
    <row r="37" spans="1:14">
      <c r="A37" s="3">
        <v>24</v>
      </c>
      <c r="B37" s="3">
        <v>1</v>
      </c>
      <c r="C37" s="4" t="s">
        <v>101</v>
      </c>
      <c r="D37" s="4" t="s">
        <v>32</v>
      </c>
      <c r="E37" s="3">
        <v>8</v>
      </c>
      <c r="F37" s="5">
        <v>37.5</v>
      </c>
      <c r="G37" s="5">
        <f>E37*F37</f>
        <v>300</v>
      </c>
      <c r="H37" s="6">
        <v>46046</v>
      </c>
      <c r="I37" s="4" t="s">
        <v>27</v>
      </c>
      <c r="J37" s="4" t="s">
        <v>102</v>
      </c>
      <c r="K37" s="4" t="s">
        <v>102</v>
      </c>
      <c r="L37" s="4">
        <f t="shared" si="1"/>
        <v>25</v>
      </c>
      <c r="M37" s="4" t="s">
        <v>34</v>
      </c>
      <c r="N37" s="4" t="s">
        <v>72</v>
      </c>
    </row>
    <row r="38" spans="1:14">
      <c r="A38" s="3">
        <v>41</v>
      </c>
      <c r="B38" s="3">
        <v>1</v>
      </c>
      <c r="C38" s="4" t="s">
        <v>103</v>
      </c>
      <c r="D38" s="4" t="s">
        <v>14</v>
      </c>
      <c r="E38" s="3">
        <v>7</v>
      </c>
      <c r="F38" s="5">
        <v>15</v>
      </c>
      <c r="G38" s="5">
        <f>E38*F38</f>
        <v>105</v>
      </c>
      <c r="H38" s="6">
        <v>46063</v>
      </c>
      <c r="I38" s="4" t="s">
        <v>15</v>
      </c>
      <c r="J38" s="4" t="s">
        <v>104</v>
      </c>
      <c r="K38" s="4" t="s">
        <v>104</v>
      </c>
      <c r="L38" s="4">
        <f t="shared" si="1"/>
        <v>42</v>
      </c>
      <c r="M38" s="4" t="s">
        <v>17</v>
      </c>
      <c r="N38" s="4" t="s">
        <v>105</v>
      </c>
    </row>
    <row r="39" spans="1:14">
      <c r="A39" s="3">
        <v>58</v>
      </c>
      <c r="B39" s="3">
        <v>1</v>
      </c>
      <c r="C39" s="4" t="s">
        <v>106</v>
      </c>
      <c r="D39" s="4" t="s">
        <v>20</v>
      </c>
      <c r="E39" s="3">
        <v>6</v>
      </c>
      <c r="F39" s="5">
        <v>25</v>
      </c>
      <c r="G39" s="5">
        <f>E39*F39</f>
        <v>150</v>
      </c>
      <c r="H39" s="6">
        <v>46080</v>
      </c>
      <c r="I39" s="4" t="s">
        <v>21</v>
      </c>
      <c r="J39" s="4" t="s">
        <v>107</v>
      </c>
      <c r="K39" s="4" t="s">
        <v>107</v>
      </c>
      <c r="L39" s="4">
        <f t="shared" si="1"/>
        <v>59</v>
      </c>
      <c r="M39" s="4" t="s">
        <v>23</v>
      </c>
      <c r="N39" s="4" t="s">
        <v>30</v>
      </c>
    </row>
    <row r="40" spans="1:14">
      <c r="A40" s="3">
        <v>75</v>
      </c>
      <c r="B40" s="3">
        <v>1</v>
      </c>
      <c r="C40" s="4" t="s">
        <v>108</v>
      </c>
      <c r="D40" s="4" t="s">
        <v>26</v>
      </c>
      <c r="E40" s="3">
        <v>5</v>
      </c>
      <c r="F40" s="5">
        <v>35</v>
      </c>
      <c r="G40" s="5">
        <f>E40*F40</f>
        <v>175</v>
      </c>
      <c r="H40" s="6">
        <v>46097</v>
      </c>
      <c r="I40" s="4" t="s">
        <v>27</v>
      </c>
      <c r="J40" s="4" t="s">
        <v>109</v>
      </c>
      <c r="K40" s="4" t="s">
        <v>109</v>
      </c>
      <c r="L40" s="4">
        <f t="shared" si="1"/>
        <v>76</v>
      </c>
      <c r="M40" s="4" t="s">
        <v>29</v>
      </c>
      <c r="N40" s="4" t="s">
        <v>67</v>
      </c>
    </row>
    <row r="41" spans="1:14">
      <c r="A41" s="3">
        <v>8</v>
      </c>
      <c r="B41" s="3">
        <v>2</v>
      </c>
      <c r="C41" s="4" t="s">
        <v>110</v>
      </c>
      <c r="D41" s="4" t="s">
        <v>32</v>
      </c>
      <c r="E41" s="3">
        <v>10</v>
      </c>
      <c r="F41" s="5">
        <v>30</v>
      </c>
      <c r="G41" s="5">
        <f>E41*F41</f>
        <v>300</v>
      </c>
      <c r="H41" s="6">
        <v>46030</v>
      </c>
      <c r="I41" s="4" t="s">
        <v>15</v>
      </c>
      <c r="J41" s="4" t="s">
        <v>111</v>
      </c>
      <c r="K41" s="4" t="s">
        <v>111</v>
      </c>
      <c r="L41" s="4">
        <f t="shared" si="1"/>
        <v>10</v>
      </c>
      <c r="M41" s="4" t="s">
        <v>34</v>
      </c>
      <c r="N41" s="4" t="s">
        <v>38</v>
      </c>
    </row>
    <row r="42" spans="1:14">
      <c r="A42" s="3">
        <v>25</v>
      </c>
      <c r="B42" s="3">
        <v>2</v>
      </c>
      <c r="C42" s="4" t="s">
        <v>112</v>
      </c>
      <c r="D42" s="4" t="s">
        <v>14</v>
      </c>
      <c r="E42" s="3">
        <v>9</v>
      </c>
      <c r="F42" s="5">
        <v>40</v>
      </c>
      <c r="G42" s="5">
        <f>E42*F42</f>
        <v>360</v>
      </c>
      <c r="H42" s="6">
        <v>46047</v>
      </c>
      <c r="I42" s="4" t="s">
        <v>21</v>
      </c>
      <c r="J42" s="4" t="s">
        <v>113</v>
      </c>
      <c r="K42" s="4" t="s">
        <v>113</v>
      </c>
      <c r="L42" s="4">
        <f t="shared" si="1"/>
        <v>27</v>
      </c>
      <c r="M42" s="4" t="s">
        <v>17</v>
      </c>
      <c r="N42" s="4" t="s">
        <v>72</v>
      </c>
    </row>
    <row r="43" spans="1:14">
      <c r="A43" s="3">
        <v>42</v>
      </c>
      <c r="B43" s="3">
        <v>2</v>
      </c>
      <c r="C43" s="4" t="s">
        <v>114</v>
      </c>
      <c r="D43" s="4" t="s">
        <v>20</v>
      </c>
      <c r="E43" s="3">
        <v>8</v>
      </c>
      <c r="F43" s="5">
        <v>17.5</v>
      </c>
      <c r="G43" s="5">
        <f>E43*F43</f>
        <v>140</v>
      </c>
      <c r="H43" s="6">
        <v>46064</v>
      </c>
      <c r="I43" s="4" t="s">
        <v>27</v>
      </c>
      <c r="J43" s="4" t="s">
        <v>115</v>
      </c>
      <c r="K43" s="4" t="s">
        <v>115</v>
      </c>
      <c r="L43" s="4">
        <f t="shared" si="1"/>
        <v>44</v>
      </c>
      <c r="M43" s="4" t="s">
        <v>23</v>
      </c>
      <c r="N43" s="4" t="s">
        <v>105</v>
      </c>
    </row>
    <row r="44" spans="1:14">
      <c r="A44" s="3">
        <v>59</v>
      </c>
      <c r="B44" s="3">
        <v>2</v>
      </c>
      <c r="C44" s="4" t="s">
        <v>116</v>
      </c>
      <c r="D44" s="4" t="s">
        <v>26</v>
      </c>
      <c r="E44" s="3">
        <v>7</v>
      </c>
      <c r="F44" s="5">
        <v>27.5</v>
      </c>
      <c r="G44" s="5">
        <f>E44*F44</f>
        <v>192.5</v>
      </c>
      <c r="H44" s="6">
        <v>46081</v>
      </c>
      <c r="I44" s="4" t="s">
        <v>15</v>
      </c>
      <c r="J44" s="4" t="s">
        <v>117</v>
      </c>
      <c r="K44" s="4" t="s">
        <v>117</v>
      </c>
      <c r="L44" s="4">
        <f t="shared" si="1"/>
        <v>61</v>
      </c>
      <c r="M44" s="4" t="s">
        <v>29</v>
      </c>
      <c r="N44" s="4" t="s">
        <v>30</v>
      </c>
    </row>
    <row r="45" spans="1:14">
      <c r="A45" s="3">
        <v>76</v>
      </c>
      <c r="B45" s="3">
        <v>2</v>
      </c>
      <c r="C45" s="4" t="s">
        <v>118</v>
      </c>
      <c r="D45" s="4" t="s">
        <v>32</v>
      </c>
      <c r="E45" s="3">
        <v>6</v>
      </c>
      <c r="F45" s="5">
        <v>37.5</v>
      </c>
      <c r="G45" s="5">
        <f>E45*F45</f>
        <v>225</v>
      </c>
      <c r="H45" s="6">
        <v>46098</v>
      </c>
      <c r="I45" s="4" t="s">
        <v>21</v>
      </c>
      <c r="J45" s="4" t="s">
        <v>119</v>
      </c>
      <c r="K45" s="4" t="s">
        <v>119</v>
      </c>
      <c r="L45" s="4">
        <f t="shared" si="1"/>
        <v>78</v>
      </c>
      <c r="M45" s="4" t="s">
        <v>34</v>
      </c>
      <c r="N45" s="4" t="s">
        <v>67</v>
      </c>
    </row>
    <row r="46" spans="1:14">
      <c r="A46" s="3">
        <v>9</v>
      </c>
      <c r="B46" s="3">
        <v>3</v>
      </c>
      <c r="C46" s="4" t="s">
        <v>120</v>
      </c>
      <c r="D46" s="4" t="s">
        <v>14</v>
      </c>
      <c r="E46" s="3">
        <v>2</v>
      </c>
      <c r="F46" s="5">
        <v>32.5</v>
      </c>
      <c r="G46" s="5">
        <f>E46*F46</f>
        <v>65</v>
      </c>
      <c r="H46" s="6">
        <v>46031</v>
      </c>
      <c r="I46" s="4" t="s">
        <v>27</v>
      </c>
      <c r="J46" s="4" t="s">
        <v>121</v>
      </c>
      <c r="K46" s="4" t="s">
        <v>121</v>
      </c>
      <c r="L46" s="4">
        <f t="shared" si="1"/>
        <v>12</v>
      </c>
      <c r="M46" s="4" t="s">
        <v>17</v>
      </c>
      <c r="N46" s="4" t="s">
        <v>38</v>
      </c>
    </row>
    <row r="47" spans="1:14">
      <c r="A47" s="3">
        <v>26</v>
      </c>
      <c r="B47" s="3">
        <v>3</v>
      </c>
      <c r="C47" s="4" t="s">
        <v>122</v>
      </c>
      <c r="D47" s="4" t="s">
        <v>20</v>
      </c>
      <c r="E47" s="3">
        <v>10</v>
      </c>
      <c r="F47" s="5">
        <v>10</v>
      </c>
      <c r="G47" s="5">
        <f>E47*F47</f>
        <v>100</v>
      </c>
      <c r="H47" s="6">
        <v>46048</v>
      </c>
      <c r="I47" s="4" t="s">
        <v>15</v>
      </c>
      <c r="J47" s="4" t="s">
        <v>123</v>
      </c>
      <c r="K47" s="4" t="s">
        <v>123</v>
      </c>
      <c r="L47" s="4">
        <f t="shared" si="1"/>
        <v>29</v>
      </c>
      <c r="M47" s="4" t="s">
        <v>23</v>
      </c>
      <c r="N47" s="4" t="s">
        <v>72</v>
      </c>
    </row>
    <row r="48" spans="1:14">
      <c r="A48" s="3">
        <v>43</v>
      </c>
      <c r="B48" s="3">
        <v>3</v>
      </c>
      <c r="C48" s="4" t="s">
        <v>124</v>
      </c>
      <c r="D48" s="4" t="s">
        <v>26</v>
      </c>
      <c r="E48" s="3">
        <v>9</v>
      </c>
      <c r="F48" s="5">
        <v>20</v>
      </c>
      <c r="G48" s="5">
        <f>E48*F48</f>
        <v>180</v>
      </c>
      <c r="H48" s="6">
        <v>46065</v>
      </c>
      <c r="I48" s="4" t="s">
        <v>21</v>
      </c>
      <c r="J48" s="4" t="s">
        <v>125</v>
      </c>
      <c r="K48" s="4" t="s">
        <v>125</v>
      </c>
      <c r="L48" s="4">
        <f t="shared" si="1"/>
        <v>46</v>
      </c>
      <c r="M48" s="4" t="s">
        <v>29</v>
      </c>
      <c r="N48" s="4" t="s">
        <v>105</v>
      </c>
    </row>
    <row r="49" spans="1:14">
      <c r="A49" s="3">
        <v>60</v>
      </c>
      <c r="B49" s="3">
        <v>3</v>
      </c>
      <c r="C49" s="4" t="s">
        <v>126</v>
      </c>
      <c r="D49" s="4" t="s">
        <v>32</v>
      </c>
      <c r="E49" s="3">
        <v>8</v>
      </c>
      <c r="F49" s="5">
        <v>30</v>
      </c>
      <c r="G49" s="5">
        <f>E49*F49</f>
        <v>240</v>
      </c>
      <c r="H49" s="6">
        <v>46082</v>
      </c>
      <c r="I49" s="4" t="s">
        <v>27</v>
      </c>
      <c r="J49" s="4" t="s">
        <v>127</v>
      </c>
      <c r="K49" s="4" t="s">
        <v>127</v>
      </c>
      <c r="L49" s="4">
        <f t="shared" si="1"/>
        <v>63</v>
      </c>
      <c r="M49" s="4" t="s">
        <v>34</v>
      </c>
      <c r="N49" s="4" t="s">
        <v>30</v>
      </c>
    </row>
    <row r="50" spans="1:14">
      <c r="A50" s="3">
        <v>77</v>
      </c>
      <c r="B50" s="3">
        <v>3</v>
      </c>
      <c r="C50" s="4" t="s">
        <v>128</v>
      </c>
      <c r="D50" s="4" t="s">
        <v>14</v>
      </c>
      <c r="E50" s="3">
        <v>7</v>
      </c>
      <c r="F50" s="5">
        <v>40</v>
      </c>
      <c r="G50" s="5">
        <f>E50*F50</f>
        <v>280</v>
      </c>
      <c r="H50" s="6">
        <v>46099</v>
      </c>
      <c r="I50" s="4" t="s">
        <v>15</v>
      </c>
      <c r="J50" s="4" t="s">
        <v>129</v>
      </c>
      <c r="K50" s="4" t="s">
        <v>129</v>
      </c>
      <c r="L50" s="4">
        <f t="shared" si="1"/>
        <v>80</v>
      </c>
      <c r="M50" s="4" t="s">
        <v>17</v>
      </c>
      <c r="N50" s="4" t="s">
        <v>67</v>
      </c>
    </row>
    <row r="51" spans="1:14">
      <c r="A51" s="3">
        <v>10</v>
      </c>
      <c r="B51" s="3">
        <v>4</v>
      </c>
      <c r="C51" s="4" t="s">
        <v>130</v>
      </c>
      <c r="D51" s="4" t="s">
        <v>20</v>
      </c>
      <c r="E51" s="3">
        <v>3</v>
      </c>
      <c r="F51" s="5">
        <v>35</v>
      </c>
      <c r="G51" s="5">
        <f>E51*F51</f>
        <v>105</v>
      </c>
      <c r="H51" s="6">
        <v>46032</v>
      </c>
      <c r="I51" s="4" t="s">
        <v>21</v>
      </c>
      <c r="J51" s="4" t="s">
        <v>131</v>
      </c>
      <c r="K51" s="4" t="s">
        <v>131</v>
      </c>
      <c r="L51" s="4">
        <f t="shared" si="1"/>
        <v>14</v>
      </c>
      <c r="M51" s="4" t="s">
        <v>23</v>
      </c>
      <c r="N51" s="4" t="s">
        <v>38</v>
      </c>
    </row>
    <row r="52" spans="1:14">
      <c r="A52" s="3">
        <v>27</v>
      </c>
      <c r="B52" s="3">
        <v>4</v>
      </c>
      <c r="C52" s="4" t="s">
        <v>132</v>
      </c>
      <c r="D52" s="4" t="s">
        <v>26</v>
      </c>
      <c r="E52" s="3">
        <v>2</v>
      </c>
      <c r="F52" s="5">
        <v>12.5</v>
      </c>
      <c r="G52" s="5">
        <f>E52*F52</f>
        <v>25</v>
      </c>
      <c r="H52" s="6">
        <v>46049</v>
      </c>
      <c r="I52" s="4" t="s">
        <v>27</v>
      </c>
      <c r="J52" s="4" t="s">
        <v>133</v>
      </c>
      <c r="K52" s="4" t="s">
        <v>133</v>
      </c>
      <c r="L52" s="4">
        <f t="shared" si="1"/>
        <v>31</v>
      </c>
      <c r="M52" s="4" t="s">
        <v>29</v>
      </c>
      <c r="N52" s="4" t="s">
        <v>72</v>
      </c>
    </row>
    <row r="53" spans="1:14">
      <c r="A53" s="3">
        <v>44</v>
      </c>
      <c r="B53" s="3">
        <v>4</v>
      </c>
      <c r="C53" s="4" t="s">
        <v>134</v>
      </c>
      <c r="D53" s="4" t="s">
        <v>32</v>
      </c>
      <c r="E53" s="3">
        <v>10</v>
      </c>
      <c r="F53" s="5">
        <v>22.5</v>
      </c>
      <c r="G53" s="5">
        <f>E53*F53</f>
        <v>225</v>
      </c>
      <c r="H53" s="6">
        <v>46066</v>
      </c>
      <c r="I53" s="4" t="s">
        <v>15</v>
      </c>
      <c r="J53" s="4" t="s">
        <v>135</v>
      </c>
      <c r="K53" s="4" t="s">
        <v>135</v>
      </c>
      <c r="L53" s="4">
        <f t="shared" si="1"/>
        <v>48</v>
      </c>
      <c r="M53" s="4" t="s">
        <v>34</v>
      </c>
      <c r="N53" s="4" t="s">
        <v>105</v>
      </c>
    </row>
    <row r="54" spans="1:14">
      <c r="A54" s="3">
        <v>61</v>
      </c>
      <c r="B54" s="3">
        <v>4</v>
      </c>
      <c r="C54" s="4" t="s">
        <v>136</v>
      </c>
      <c r="D54" s="4" t="s">
        <v>14</v>
      </c>
      <c r="E54" s="3">
        <v>9</v>
      </c>
      <c r="F54" s="5">
        <v>32.5</v>
      </c>
      <c r="G54" s="5">
        <f>E54*F54</f>
        <v>292.5</v>
      </c>
      <c r="H54" s="6">
        <v>46083</v>
      </c>
      <c r="I54" s="4" t="s">
        <v>21</v>
      </c>
      <c r="J54" s="4" t="s">
        <v>137</v>
      </c>
      <c r="K54" s="4" t="s">
        <v>137</v>
      </c>
      <c r="L54" s="4">
        <f t="shared" si="1"/>
        <v>65</v>
      </c>
      <c r="M54" s="4" t="s">
        <v>17</v>
      </c>
      <c r="N54" s="4" t="s">
        <v>35</v>
      </c>
    </row>
    <row r="55" spans="1:14">
      <c r="A55" s="3">
        <v>78</v>
      </c>
      <c r="B55" s="3">
        <v>4</v>
      </c>
      <c r="C55" s="4" t="s">
        <v>138</v>
      </c>
      <c r="D55" s="4" t="s">
        <v>20</v>
      </c>
      <c r="E55" s="3">
        <v>8</v>
      </c>
      <c r="F55" s="5">
        <v>10</v>
      </c>
      <c r="G55" s="5">
        <f>E55*F55</f>
        <v>80</v>
      </c>
      <c r="H55" s="6">
        <v>46100</v>
      </c>
      <c r="I55" s="4" t="s">
        <v>27</v>
      </c>
      <c r="J55" s="4" t="s">
        <v>139</v>
      </c>
      <c r="K55" s="4" t="s">
        <v>139</v>
      </c>
      <c r="L55" s="4">
        <f t="shared" si="1"/>
        <v>82</v>
      </c>
      <c r="M55" s="4" t="s">
        <v>23</v>
      </c>
      <c r="N55" s="4" t="s">
        <v>67</v>
      </c>
    </row>
    <row r="56" spans="1:14">
      <c r="A56" s="3">
        <v>11</v>
      </c>
      <c r="B56" s="3">
        <v>5</v>
      </c>
      <c r="C56" s="4" t="s">
        <v>140</v>
      </c>
      <c r="D56" s="4" t="s">
        <v>26</v>
      </c>
      <c r="E56" s="3">
        <v>4</v>
      </c>
      <c r="F56" s="5">
        <v>37.5</v>
      </c>
      <c r="G56" s="5">
        <f>E56*F56</f>
        <v>150</v>
      </c>
      <c r="H56" s="6">
        <v>46033</v>
      </c>
      <c r="I56" s="4" t="s">
        <v>15</v>
      </c>
      <c r="J56" s="4" t="s">
        <v>141</v>
      </c>
      <c r="K56" s="4" t="s">
        <v>141</v>
      </c>
      <c r="L56" s="4">
        <f t="shared" si="1"/>
        <v>16</v>
      </c>
      <c r="M56" s="4" t="s">
        <v>29</v>
      </c>
      <c r="N56" s="4" t="s">
        <v>18</v>
      </c>
    </row>
    <row r="57" spans="1:14">
      <c r="A57" s="3">
        <v>28</v>
      </c>
      <c r="B57" s="3">
        <v>5</v>
      </c>
      <c r="C57" s="4" t="s">
        <v>142</v>
      </c>
      <c r="D57" s="4" t="s">
        <v>32</v>
      </c>
      <c r="E57" s="3">
        <v>3</v>
      </c>
      <c r="F57" s="5">
        <v>15</v>
      </c>
      <c r="G57" s="5">
        <f>E57*F57</f>
        <v>45</v>
      </c>
      <c r="H57" s="6">
        <v>46050</v>
      </c>
      <c r="I57" s="4" t="s">
        <v>21</v>
      </c>
      <c r="J57" s="4" t="s">
        <v>143</v>
      </c>
      <c r="K57" s="4" t="s">
        <v>143</v>
      </c>
      <c r="L57" s="4">
        <f t="shared" si="1"/>
        <v>33</v>
      </c>
      <c r="M57" s="4" t="s">
        <v>34</v>
      </c>
      <c r="N57" s="4" t="s">
        <v>72</v>
      </c>
    </row>
    <row r="58" spans="1:14">
      <c r="A58" s="3">
        <v>45</v>
      </c>
      <c r="B58" s="3">
        <v>5</v>
      </c>
      <c r="C58" s="4" t="s">
        <v>144</v>
      </c>
      <c r="D58" s="4" t="s">
        <v>14</v>
      </c>
      <c r="E58" s="3">
        <v>2</v>
      </c>
      <c r="F58" s="5">
        <v>25</v>
      </c>
      <c r="G58" s="5">
        <f>E58*F58</f>
        <v>50</v>
      </c>
      <c r="H58" s="6">
        <v>46067</v>
      </c>
      <c r="I58" s="4" t="s">
        <v>27</v>
      </c>
      <c r="J58" s="4" t="s">
        <v>145</v>
      </c>
      <c r="K58" s="4" t="s">
        <v>145</v>
      </c>
      <c r="L58" s="4">
        <f t="shared" si="1"/>
        <v>50</v>
      </c>
      <c r="M58" s="4" t="s">
        <v>17</v>
      </c>
      <c r="N58" s="4" t="s">
        <v>105</v>
      </c>
    </row>
    <row r="59" spans="1:14">
      <c r="A59" s="3">
        <v>62</v>
      </c>
      <c r="B59" s="3">
        <v>5</v>
      </c>
      <c r="C59" s="4" t="s">
        <v>146</v>
      </c>
      <c r="D59" s="4" t="s">
        <v>20</v>
      </c>
      <c r="E59" s="3">
        <v>10</v>
      </c>
      <c r="F59" s="5">
        <v>35</v>
      </c>
      <c r="G59" s="5">
        <f>E59*F59</f>
        <v>350</v>
      </c>
      <c r="H59" s="6">
        <v>46084</v>
      </c>
      <c r="I59" s="4" t="s">
        <v>15</v>
      </c>
      <c r="J59" s="4" t="s">
        <v>147</v>
      </c>
      <c r="K59" s="4" t="s">
        <v>147</v>
      </c>
      <c r="L59" s="4">
        <f t="shared" si="1"/>
        <v>67</v>
      </c>
      <c r="M59" s="4" t="s">
        <v>23</v>
      </c>
      <c r="N59" s="4" t="s">
        <v>35</v>
      </c>
    </row>
    <row r="60" spans="1:14">
      <c r="A60" s="3">
        <v>79</v>
      </c>
      <c r="B60" s="3">
        <v>5</v>
      </c>
      <c r="C60" s="4" t="s">
        <v>148</v>
      </c>
      <c r="D60" s="4" t="s">
        <v>26</v>
      </c>
      <c r="E60" s="3">
        <v>9</v>
      </c>
      <c r="F60" s="5">
        <v>12.5</v>
      </c>
      <c r="G60" s="5">
        <f>E60*F60</f>
        <v>112.5</v>
      </c>
      <c r="H60" s="6">
        <v>46101</v>
      </c>
      <c r="I60" s="4" t="s">
        <v>21</v>
      </c>
      <c r="J60" s="4" t="s">
        <v>149</v>
      </c>
      <c r="K60" s="4" t="s">
        <v>149</v>
      </c>
      <c r="L60" s="4">
        <f t="shared" si="1"/>
        <v>84</v>
      </c>
      <c r="M60" s="4" t="s">
        <v>29</v>
      </c>
      <c r="N60" s="4" t="s">
        <v>67</v>
      </c>
    </row>
    <row r="61" spans="1:14">
      <c r="A61" s="3">
        <v>12</v>
      </c>
      <c r="B61" s="3">
        <v>6</v>
      </c>
      <c r="C61" s="4" t="s">
        <v>150</v>
      </c>
      <c r="D61" s="4" t="s">
        <v>32</v>
      </c>
      <c r="E61" s="3">
        <v>5</v>
      </c>
      <c r="F61" s="5">
        <v>40</v>
      </c>
      <c r="G61" s="5">
        <f>E61*F61</f>
        <v>200</v>
      </c>
      <c r="H61" s="6">
        <v>46034</v>
      </c>
      <c r="I61" s="4" t="s">
        <v>27</v>
      </c>
      <c r="J61" s="4" t="s">
        <v>151</v>
      </c>
      <c r="K61" s="4" t="s">
        <v>151</v>
      </c>
      <c r="L61" s="4">
        <f t="shared" si="1"/>
        <v>18</v>
      </c>
      <c r="M61" s="4" t="s">
        <v>34</v>
      </c>
      <c r="N61" s="4" t="s">
        <v>18</v>
      </c>
    </row>
    <row r="62" spans="1:14">
      <c r="A62" s="3">
        <v>29</v>
      </c>
      <c r="B62" s="3">
        <v>6</v>
      </c>
      <c r="C62" s="4" t="s">
        <v>152</v>
      </c>
      <c r="D62" s="4" t="s">
        <v>14</v>
      </c>
      <c r="E62" s="3">
        <v>4</v>
      </c>
      <c r="F62" s="5">
        <v>17.5</v>
      </c>
      <c r="G62" s="5">
        <f>E62*F62</f>
        <v>70</v>
      </c>
      <c r="H62" s="6">
        <v>46051</v>
      </c>
      <c r="I62" s="4" t="s">
        <v>15</v>
      </c>
      <c r="J62" s="4" t="s">
        <v>153</v>
      </c>
      <c r="K62" s="4" t="s">
        <v>153</v>
      </c>
      <c r="L62" s="4">
        <f t="shared" si="1"/>
        <v>35</v>
      </c>
      <c r="M62" s="4" t="s">
        <v>17</v>
      </c>
      <c r="N62" s="4" t="s">
        <v>72</v>
      </c>
    </row>
    <row r="63" spans="1:14">
      <c r="A63" s="3">
        <v>46</v>
      </c>
      <c r="B63" s="3">
        <v>6</v>
      </c>
      <c r="C63" s="4" t="s">
        <v>154</v>
      </c>
      <c r="D63" s="4" t="s">
        <v>20</v>
      </c>
      <c r="E63" s="3">
        <v>3</v>
      </c>
      <c r="F63" s="5">
        <v>27.5</v>
      </c>
      <c r="G63" s="5">
        <f>E63*F63</f>
        <v>82.5</v>
      </c>
      <c r="H63" s="6">
        <v>46068</v>
      </c>
      <c r="I63" s="4" t="s">
        <v>21</v>
      </c>
      <c r="J63" s="4" t="s">
        <v>155</v>
      </c>
      <c r="K63" s="4" t="s">
        <v>155</v>
      </c>
      <c r="L63" s="4">
        <f t="shared" si="1"/>
        <v>52</v>
      </c>
      <c r="M63" s="4" t="s">
        <v>23</v>
      </c>
      <c r="N63" s="4" t="s">
        <v>105</v>
      </c>
    </row>
    <row r="64" spans="1:14">
      <c r="A64" s="3">
        <v>63</v>
      </c>
      <c r="B64" s="3">
        <v>6</v>
      </c>
      <c r="C64" s="4" t="s">
        <v>156</v>
      </c>
      <c r="D64" s="4" t="s">
        <v>26</v>
      </c>
      <c r="E64" s="3">
        <v>2</v>
      </c>
      <c r="F64" s="5">
        <v>37.5</v>
      </c>
      <c r="G64" s="5">
        <f>E64*F64</f>
        <v>75</v>
      </c>
      <c r="H64" s="6">
        <v>46085</v>
      </c>
      <c r="I64" s="4" t="s">
        <v>27</v>
      </c>
      <c r="J64" s="4" t="s">
        <v>157</v>
      </c>
      <c r="K64" s="4" t="s">
        <v>157</v>
      </c>
      <c r="L64" s="4">
        <f t="shared" si="1"/>
        <v>69</v>
      </c>
      <c r="M64" s="4" t="s">
        <v>29</v>
      </c>
      <c r="N64" s="4" t="s">
        <v>35</v>
      </c>
    </row>
    <row r="65" spans="1:14">
      <c r="A65" s="3">
        <v>80</v>
      </c>
      <c r="B65" s="3">
        <v>6</v>
      </c>
      <c r="C65" s="4" t="s">
        <v>158</v>
      </c>
      <c r="D65" s="4" t="s">
        <v>32</v>
      </c>
      <c r="E65" s="3">
        <v>10</v>
      </c>
      <c r="F65" s="5">
        <v>15</v>
      </c>
      <c r="G65" s="5">
        <f>E65*F65</f>
        <v>150</v>
      </c>
      <c r="H65" s="6">
        <v>46102</v>
      </c>
      <c r="I65" s="4" t="s">
        <v>15</v>
      </c>
      <c r="J65" s="4" t="s">
        <v>159</v>
      </c>
      <c r="K65" s="4" t="s">
        <v>159</v>
      </c>
      <c r="L65" s="4">
        <f t="shared" si="1"/>
        <v>86</v>
      </c>
      <c r="M65" s="4" t="s">
        <v>34</v>
      </c>
      <c r="N65" s="4" t="s">
        <v>67</v>
      </c>
    </row>
    <row r="66" spans="1:14">
      <c r="A66" s="3">
        <v>13</v>
      </c>
      <c r="B66" s="3">
        <v>7</v>
      </c>
      <c r="C66" s="4" t="s">
        <v>160</v>
      </c>
      <c r="D66" s="4" t="s">
        <v>14</v>
      </c>
      <c r="E66" s="3">
        <v>6</v>
      </c>
      <c r="F66" s="5">
        <v>10</v>
      </c>
      <c r="G66" s="5">
        <f>E66*F66</f>
        <v>60</v>
      </c>
      <c r="H66" s="6">
        <v>46035</v>
      </c>
      <c r="I66" s="4" t="s">
        <v>21</v>
      </c>
      <c r="J66" s="4" t="s">
        <v>161</v>
      </c>
      <c r="K66" s="4" t="s">
        <v>161</v>
      </c>
      <c r="L66" s="4">
        <f t="shared" si="1"/>
        <v>20</v>
      </c>
      <c r="M66" s="4" t="s">
        <v>17</v>
      </c>
      <c r="N66" s="4" t="s">
        <v>18</v>
      </c>
    </row>
    <row r="67" spans="1:14">
      <c r="A67" s="3">
        <v>30</v>
      </c>
      <c r="B67" s="3">
        <v>7</v>
      </c>
      <c r="C67" s="4" t="s">
        <v>162</v>
      </c>
      <c r="D67" s="4" t="s">
        <v>20</v>
      </c>
      <c r="E67" s="3">
        <v>5</v>
      </c>
      <c r="F67" s="5">
        <v>20</v>
      </c>
      <c r="G67" s="5">
        <f>E67*F67</f>
        <v>100</v>
      </c>
      <c r="H67" s="6">
        <v>46052</v>
      </c>
      <c r="I67" s="4" t="s">
        <v>27</v>
      </c>
      <c r="J67" s="4" t="s">
        <v>163</v>
      </c>
      <c r="K67" s="4" t="s">
        <v>163</v>
      </c>
      <c r="L67" s="4">
        <f>A67+B67</f>
        <v>37</v>
      </c>
      <c r="M67" s="4" t="s">
        <v>23</v>
      </c>
      <c r="N67" s="4" t="s">
        <v>72</v>
      </c>
    </row>
    <row r="68" spans="1:14">
      <c r="A68" s="3">
        <v>47</v>
      </c>
      <c r="B68" s="3">
        <v>7</v>
      </c>
      <c r="C68" s="4" t="s">
        <v>164</v>
      </c>
      <c r="D68" s="4" t="s">
        <v>26</v>
      </c>
      <c r="E68" s="3">
        <v>4</v>
      </c>
      <c r="F68" s="5">
        <v>30</v>
      </c>
      <c r="G68" s="5">
        <f>E68*F68</f>
        <v>120</v>
      </c>
      <c r="H68" s="6">
        <v>46069</v>
      </c>
      <c r="I68" s="4" t="s">
        <v>15</v>
      </c>
      <c r="J68" s="4" t="s">
        <v>165</v>
      </c>
      <c r="K68" s="4" t="s">
        <v>165</v>
      </c>
      <c r="L68" s="4">
        <f>A68+B68</f>
        <v>54</v>
      </c>
      <c r="M68" s="4" t="s">
        <v>29</v>
      </c>
      <c r="N68" s="4" t="s">
        <v>105</v>
      </c>
    </row>
    <row r="69" spans="1:14">
      <c r="A69" s="3">
        <v>64</v>
      </c>
      <c r="B69" s="3">
        <v>7</v>
      </c>
      <c r="C69" s="4" t="s">
        <v>166</v>
      </c>
      <c r="D69" s="4" t="s">
        <v>32</v>
      </c>
      <c r="E69" s="3">
        <v>3</v>
      </c>
      <c r="F69" s="5">
        <v>40</v>
      </c>
      <c r="G69" s="5">
        <f>E69*F69</f>
        <v>120</v>
      </c>
      <c r="H69" s="6">
        <v>46086</v>
      </c>
      <c r="I69" s="4" t="s">
        <v>21</v>
      </c>
      <c r="J69" s="4" t="s">
        <v>167</v>
      </c>
      <c r="K69" s="4" t="s">
        <v>167</v>
      </c>
      <c r="L69" s="4">
        <f>A69+B69</f>
        <v>71</v>
      </c>
      <c r="M69" s="4" t="s">
        <v>34</v>
      </c>
      <c r="N69" s="4" t="s">
        <v>35</v>
      </c>
    </row>
    <row r="70" spans="1:14">
      <c r="A70" s="3">
        <v>14</v>
      </c>
      <c r="B70" s="3">
        <v>8</v>
      </c>
      <c r="C70" s="4" t="s">
        <v>168</v>
      </c>
      <c r="D70" s="4" t="s">
        <v>20</v>
      </c>
      <c r="E70" s="3">
        <v>7</v>
      </c>
      <c r="F70" s="5">
        <v>12.5</v>
      </c>
      <c r="G70" s="5">
        <f>E70*F70</f>
        <v>87.5</v>
      </c>
      <c r="H70" s="6">
        <v>46036</v>
      </c>
      <c r="I70" s="4" t="s">
        <v>15</v>
      </c>
      <c r="J70" s="4" t="s">
        <v>169</v>
      </c>
      <c r="K70" s="4" t="s">
        <v>169</v>
      </c>
      <c r="L70" s="4">
        <f>A70+B70</f>
        <v>22</v>
      </c>
      <c r="M70" s="4" t="s">
        <v>23</v>
      </c>
      <c r="N70" s="4" t="s">
        <v>18</v>
      </c>
    </row>
    <row r="71" spans="1:14">
      <c r="A71" s="3">
        <v>31</v>
      </c>
      <c r="B71" s="3">
        <v>8</v>
      </c>
      <c r="C71" s="4" t="s">
        <v>170</v>
      </c>
      <c r="D71" s="4" t="s">
        <v>26</v>
      </c>
      <c r="E71" s="3">
        <v>6</v>
      </c>
      <c r="F71" s="5">
        <v>22.5</v>
      </c>
      <c r="G71" s="5">
        <f>E71*F71</f>
        <v>135</v>
      </c>
      <c r="H71" s="6">
        <v>46053</v>
      </c>
      <c r="I71" s="4" t="s">
        <v>21</v>
      </c>
      <c r="J71" s="4" t="s">
        <v>171</v>
      </c>
      <c r="K71" s="4" t="s">
        <v>171</v>
      </c>
      <c r="L71" s="4">
        <f>A71+B71</f>
        <v>39</v>
      </c>
      <c r="M71" s="4" t="s">
        <v>29</v>
      </c>
      <c r="N71" s="4" t="s">
        <v>24</v>
      </c>
    </row>
    <row r="72" spans="1:14">
      <c r="A72" s="3">
        <v>48</v>
      </c>
      <c r="B72" s="3">
        <v>8</v>
      </c>
      <c r="C72" s="4" t="s">
        <v>172</v>
      </c>
      <c r="D72" s="4" t="s">
        <v>32</v>
      </c>
      <c r="E72" s="3">
        <v>5</v>
      </c>
      <c r="F72" s="5">
        <v>32.5</v>
      </c>
      <c r="G72" s="5">
        <f>E72*F72</f>
        <v>162.5</v>
      </c>
      <c r="H72" s="6">
        <v>46070</v>
      </c>
      <c r="I72" s="4" t="s">
        <v>27</v>
      </c>
      <c r="J72" s="4" t="s">
        <v>173</v>
      </c>
      <c r="K72" s="4" t="s">
        <v>173</v>
      </c>
      <c r="L72" s="4">
        <f>A72+B72</f>
        <v>56</v>
      </c>
      <c r="M72" s="4" t="s">
        <v>34</v>
      </c>
      <c r="N72" s="4" t="s">
        <v>105</v>
      </c>
    </row>
    <row r="73" spans="1:14">
      <c r="A73" s="3">
        <v>65</v>
      </c>
      <c r="B73" s="3">
        <v>8</v>
      </c>
      <c r="C73" s="4" t="s">
        <v>174</v>
      </c>
      <c r="D73" s="4" t="s">
        <v>14</v>
      </c>
      <c r="E73" s="3">
        <v>4</v>
      </c>
      <c r="F73" s="5">
        <v>10</v>
      </c>
      <c r="G73" s="5">
        <f>E73*F73</f>
        <v>40</v>
      </c>
      <c r="H73" s="6">
        <v>46087</v>
      </c>
      <c r="I73" s="4" t="s">
        <v>15</v>
      </c>
      <c r="J73" s="4" t="s">
        <v>175</v>
      </c>
      <c r="K73" s="4" t="s">
        <v>175</v>
      </c>
      <c r="L73" s="4">
        <f>A73+B73</f>
        <v>73</v>
      </c>
      <c r="M73" s="4" t="s">
        <v>17</v>
      </c>
      <c r="N73" s="4" t="s">
        <v>35</v>
      </c>
    </row>
    <row r="74" spans="1:14">
      <c r="A74" s="3">
        <v>15</v>
      </c>
      <c r="B74" s="3">
        <v>9</v>
      </c>
      <c r="C74" s="4" t="s">
        <v>176</v>
      </c>
      <c r="D74" s="4" t="s">
        <v>26</v>
      </c>
      <c r="E74" s="3">
        <v>8</v>
      </c>
      <c r="F74" s="5">
        <v>15</v>
      </c>
      <c r="G74" s="5">
        <f>E74*F74</f>
        <v>120</v>
      </c>
      <c r="H74" s="6">
        <v>46037</v>
      </c>
      <c r="I74" s="4" t="s">
        <v>27</v>
      </c>
      <c r="J74" s="4" t="s">
        <v>177</v>
      </c>
      <c r="K74" s="4" t="s">
        <v>177</v>
      </c>
      <c r="L74" s="4">
        <f>A74+B74</f>
        <v>24</v>
      </c>
      <c r="M74" s="4" t="s">
        <v>29</v>
      </c>
      <c r="N74" s="4" t="s">
        <v>18</v>
      </c>
    </row>
    <row r="75" spans="1:14">
      <c r="A75" s="3">
        <v>32</v>
      </c>
      <c r="B75" s="3">
        <v>9</v>
      </c>
      <c r="C75" s="4" t="s">
        <v>178</v>
      </c>
      <c r="D75" s="4" t="s">
        <v>32</v>
      </c>
      <c r="E75" s="3">
        <v>7</v>
      </c>
      <c r="F75" s="5">
        <v>25</v>
      </c>
      <c r="G75" s="5">
        <f>E75*F75</f>
        <v>175</v>
      </c>
      <c r="H75" s="6">
        <v>46054</v>
      </c>
      <c r="I75" s="4" t="s">
        <v>15</v>
      </c>
      <c r="J75" s="4" t="s">
        <v>179</v>
      </c>
      <c r="K75" s="4" t="s">
        <v>179</v>
      </c>
      <c r="L75" s="4">
        <f>A75+B75</f>
        <v>41</v>
      </c>
      <c r="M75" s="4" t="s">
        <v>34</v>
      </c>
      <c r="N75" s="4" t="s">
        <v>24</v>
      </c>
    </row>
    <row r="76" spans="1:14">
      <c r="A76" s="3">
        <v>49</v>
      </c>
      <c r="B76" s="3">
        <v>9</v>
      </c>
      <c r="C76" s="4" t="s">
        <v>180</v>
      </c>
      <c r="D76" s="4" t="s">
        <v>14</v>
      </c>
      <c r="E76" s="3">
        <v>6</v>
      </c>
      <c r="F76" s="5">
        <v>35</v>
      </c>
      <c r="G76" s="5">
        <f>E76*F76</f>
        <v>210</v>
      </c>
      <c r="H76" s="6">
        <v>46071</v>
      </c>
      <c r="I76" s="4" t="s">
        <v>21</v>
      </c>
      <c r="J76" s="4" t="s">
        <v>181</v>
      </c>
      <c r="K76" s="4" t="s">
        <v>181</v>
      </c>
      <c r="L76" s="4">
        <f>A76+B76</f>
        <v>58</v>
      </c>
      <c r="M76" s="4" t="s">
        <v>17</v>
      </c>
      <c r="N76" s="4" t="s">
        <v>105</v>
      </c>
    </row>
    <row r="77" spans="1:14">
      <c r="A77" s="3">
        <v>66</v>
      </c>
      <c r="B77" s="3">
        <v>9</v>
      </c>
      <c r="C77" s="4" t="s">
        <v>182</v>
      </c>
      <c r="D77" s="4" t="s">
        <v>20</v>
      </c>
      <c r="E77" s="3">
        <v>5</v>
      </c>
      <c r="F77" s="5">
        <v>12.5</v>
      </c>
      <c r="G77" s="5">
        <f>E77*F77</f>
        <v>62.5</v>
      </c>
      <c r="H77" s="6">
        <v>46088</v>
      </c>
      <c r="I77" s="4" t="s">
        <v>27</v>
      </c>
      <c r="J77" s="4" t="s">
        <v>183</v>
      </c>
      <c r="K77" s="4" t="s">
        <v>183</v>
      </c>
      <c r="L77" s="4">
        <f>A77+B77</f>
        <v>75</v>
      </c>
      <c r="M77" s="4" t="s">
        <v>23</v>
      </c>
      <c r="N77" s="4" t="s">
        <v>35</v>
      </c>
    </row>
    <row r="78" spans="1:14">
      <c r="A78" s="3">
        <v>16</v>
      </c>
      <c r="B78" s="3">
        <v>10</v>
      </c>
      <c r="C78" s="4" t="s">
        <v>184</v>
      </c>
      <c r="D78" s="4" t="s">
        <v>32</v>
      </c>
      <c r="E78" s="3">
        <v>9</v>
      </c>
      <c r="F78" s="5">
        <v>17.5</v>
      </c>
      <c r="G78" s="5">
        <f>E78*F78</f>
        <v>157.5</v>
      </c>
      <c r="H78" s="6">
        <v>46038</v>
      </c>
      <c r="I78" s="4" t="s">
        <v>21</v>
      </c>
      <c r="J78" s="4" t="s">
        <v>185</v>
      </c>
      <c r="K78" s="4" t="s">
        <v>185</v>
      </c>
      <c r="L78" s="4">
        <f>A78+B78</f>
        <v>26</v>
      </c>
      <c r="M78" s="4" t="s">
        <v>34</v>
      </c>
      <c r="N78" s="4" t="s">
        <v>18</v>
      </c>
    </row>
    <row r="79" spans="1:14">
      <c r="A79" s="3">
        <v>33</v>
      </c>
      <c r="B79" s="3">
        <v>10</v>
      </c>
      <c r="C79" s="4" t="s">
        <v>186</v>
      </c>
      <c r="D79" s="4" t="s">
        <v>14</v>
      </c>
      <c r="E79" s="3">
        <v>8</v>
      </c>
      <c r="F79" s="5">
        <v>27.5</v>
      </c>
      <c r="G79" s="5">
        <f>E79*F79</f>
        <v>220</v>
      </c>
      <c r="H79" s="6">
        <v>46055</v>
      </c>
      <c r="I79" s="4" t="s">
        <v>27</v>
      </c>
      <c r="J79" s="4" t="s">
        <v>187</v>
      </c>
      <c r="K79" s="4" t="s">
        <v>187</v>
      </c>
      <c r="L79" s="4">
        <f>A79+B79</f>
        <v>43</v>
      </c>
      <c r="M79" s="4" t="s">
        <v>17</v>
      </c>
      <c r="N79" s="4" t="s">
        <v>24</v>
      </c>
    </row>
    <row r="80" spans="1:14">
      <c r="A80" s="3">
        <v>50</v>
      </c>
      <c r="B80" s="3">
        <v>10</v>
      </c>
      <c r="C80" s="4" t="s">
        <v>188</v>
      </c>
      <c r="D80" s="4" t="s">
        <v>20</v>
      </c>
      <c r="E80" s="3">
        <v>7</v>
      </c>
      <c r="F80" s="5">
        <v>37.5</v>
      </c>
      <c r="G80" s="5">
        <f>E80*F80</f>
        <v>262.5</v>
      </c>
      <c r="H80" s="6">
        <v>46072</v>
      </c>
      <c r="I80" s="4" t="s">
        <v>15</v>
      </c>
      <c r="J80" s="4" t="s">
        <v>189</v>
      </c>
      <c r="K80" s="4" t="s">
        <v>189</v>
      </c>
      <c r="L80" s="4">
        <f>A80+B80</f>
        <v>60</v>
      </c>
      <c r="M80" s="4" t="s">
        <v>23</v>
      </c>
      <c r="N80" s="4" t="s">
        <v>105</v>
      </c>
    </row>
    <row r="81" spans="1:14">
      <c r="A81" s="7">
        <v>67</v>
      </c>
      <c r="B81" s="7">
        <v>10</v>
      </c>
      <c r="C81" s="8" t="s">
        <v>190</v>
      </c>
      <c r="D81" s="8" t="s">
        <v>26</v>
      </c>
      <c r="E81" s="7">
        <v>6</v>
      </c>
      <c r="F81" s="9">
        <v>15</v>
      </c>
      <c r="G81" s="9">
        <f>E81*F81</f>
        <v>90</v>
      </c>
      <c r="H81" s="10">
        <v>46089</v>
      </c>
      <c r="I81" s="8" t="s">
        <v>21</v>
      </c>
      <c r="J81" s="8" t="s">
        <v>191</v>
      </c>
      <c r="K81" s="8" t="s">
        <v>191</v>
      </c>
      <c r="L81" s="4">
        <f>A81+B81</f>
        <v>77</v>
      </c>
      <c r="M81" s="8" t="s">
        <v>29</v>
      </c>
      <c r="N81" s="8" t="s">
        <v>35</v>
      </c>
    </row>
  </sheetData>
  <autoFilter xmlns:etc="http://www.wps.cn/officeDocument/2017/etCustomData" ref="A1:N81" etc:filterBottomFollowUsedRange="0">
    <sortState ref="A2:N81">
      <sortCondition ref="B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25" outlineLevelRow="6" outlineLevelCol="1"/>
  <cols>
    <col min="1" max="1" width="25" customWidth="1"/>
    <col min="2" max="2" width="22" customWidth="1"/>
  </cols>
  <sheetData>
    <row r="1" spans="1:2">
      <c r="A1" s="1" t="s">
        <v>192</v>
      </c>
      <c r="B1" s="1" t="s">
        <v>193</v>
      </c>
    </row>
    <row r="2" spans="1:2">
      <c r="A2" t="s">
        <v>194</v>
      </c>
      <c r="B2">
        <v>80</v>
      </c>
    </row>
    <row r="3" spans="1:2">
      <c r="A3" t="s">
        <v>195</v>
      </c>
      <c r="B3">
        <v>51</v>
      </c>
    </row>
    <row r="4" spans="1:2">
      <c r="A4" t="s">
        <v>196</v>
      </c>
      <c r="B4">
        <v>20</v>
      </c>
    </row>
    <row r="5" spans="1:2">
      <c r="A5" t="s">
        <v>197</v>
      </c>
      <c r="B5" t="s">
        <v>9</v>
      </c>
    </row>
    <row r="6" spans="1:2">
      <c r="A6" t="s">
        <v>198</v>
      </c>
      <c r="B6" t="s">
        <v>199</v>
      </c>
    </row>
    <row r="7" spans="1:2">
      <c r="A7" t="s">
        <v>200</v>
      </c>
      <c r="B7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原始数据</vt:lpstr>
      <vt:lpstr>验证基线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wzx</cp:lastModifiedBy>
  <dcterms:created xsi:type="dcterms:W3CDTF">2026-07-19T23:04:58Z</dcterms:created>
  <dcterms:modified xsi:type="dcterms:W3CDTF">2026-07-19T23:06:57Z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C64A200B26E658B0C5E75C6A99C382A1_42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